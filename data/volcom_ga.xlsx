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636688E9-E83F-4266-9FAE-2F213232CC89}" xr6:coauthVersionLast="47" xr6:coauthVersionMax="47" xr10:uidLastSave="{00000000-0000-0000-0000-000000000000}"/>
  <bookViews>
    <workbookView xWindow="-120" yWindow="-120" windowWidth="29040" windowHeight="15720" xr2:uid="{B1014F06-4FB0-468B-8778-D3F2CE27CC65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3" i="1" l="1"/>
  <c r="E72" i="1"/>
  <c r="E71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4" i="1"/>
  <c r="E33" i="1"/>
  <c r="E32" i="1"/>
  <c r="E31" i="1"/>
  <c r="E30" i="1"/>
  <c r="E28" i="1"/>
  <c r="E27" i="1"/>
  <c r="E25" i="1"/>
  <c r="E24" i="1"/>
  <c r="E23" i="1"/>
  <c r="E22" i="1"/>
  <c r="E21" i="1"/>
  <c r="E18" i="1"/>
  <c r="E17" i="1"/>
  <c r="E15" i="1"/>
  <c r="E14" i="1"/>
  <c r="E13" i="1"/>
  <c r="E12" i="1"/>
  <c r="E11" i="1"/>
  <c r="E10" i="1"/>
  <c r="E8" i="1"/>
  <c r="E7" i="1"/>
  <c r="E6" i="1"/>
  <c r="E5" i="1"/>
  <c r="E4" i="1"/>
  <c r="E3" i="1"/>
  <c r="D10" i="1"/>
  <c r="D8" i="1"/>
  <c r="D6" i="1"/>
  <c r="D4" i="1"/>
  <c r="F42" i="1" l="1"/>
  <c r="F72" i="1"/>
  <c r="F66" i="1"/>
  <c r="F57" i="1"/>
  <c r="F56" i="1"/>
  <c r="F54" i="1"/>
  <c r="F53" i="1"/>
  <c r="F52" i="1"/>
  <c r="F51" i="1"/>
  <c r="F50" i="1"/>
  <c r="F49" i="1"/>
  <c r="F48" i="1"/>
  <c r="F47" i="1"/>
  <c r="F46" i="1"/>
  <c r="F45" i="1"/>
  <c r="F44" i="1"/>
  <c r="F43" i="1"/>
  <c r="F41" i="1"/>
  <c r="F40" i="1"/>
  <c r="F39" i="1"/>
  <c r="F38" i="1"/>
  <c r="F33" i="1"/>
  <c r="F32" i="1"/>
  <c r="F30" i="1"/>
  <c r="F28" i="1"/>
  <c r="F27" i="1"/>
  <c r="F24" i="1"/>
  <c r="F23" i="1"/>
  <c r="F22" i="1"/>
  <c r="F21" i="1"/>
  <c r="F18" i="1"/>
  <c r="F17" i="1"/>
  <c r="F15" i="1"/>
  <c r="F14" i="1"/>
  <c r="F13" i="1"/>
  <c r="F12" i="1"/>
  <c r="F11" i="1"/>
  <c r="F10" i="1"/>
  <c r="F8" i="1"/>
  <c r="F7" i="1"/>
  <c r="F6" i="1"/>
  <c r="F4" i="1"/>
  <c r="F3" i="1"/>
  <c r="F73" i="1"/>
  <c r="F71" i="1"/>
  <c r="F69" i="1"/>
  <c r="F68" i="1"/>
  <c r="F67" i="1"/>
  <c r="F65" i="1"/>
  <c r="F63" i="1"/>
  <c r="F62" i="1"/>
  <c r="F60" i="1"/>
  <c r="F59" i="1"/>
  <c r="F36" i="1"/>
  <c r="F34" i="1"/>
  <c r="F31" i="1"/>
  <c r="F25" i="1"/>
  <c r="F64" i="1"/>
  <c r="F61" i="1"/>
  <c r="F58" i="1"/>
  <c r="F37" i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7FE8C219-89A2-49EA-9A16-D19C3C2FC515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<sst xmlns="http://schemas.openxmlformats.org/spreadsheetml/2006/main" count="140" uniqueCount="88">
  <si>
    <t xml:space="preserve">Suministro e instalación de red eléctrica provisional , lámparas y tomas </t>
  </si>
  <si>
    <t>global</t>
  </si>
  <si>
    <t>Demolición de muros en Drywall de bodega y dintel incluye transporte y destino final</t>
  </si>
  <si>
    <t>M2</t>
  </si>
  <si>
    <t>Regatas para tubería eléctrica, datos y sonido</t>
  </si>
  <si>
    <t>m</t>
  </si>
  <si>
    <t>Desmantelamiento de cierre temporal en fachada con destino final y transporte</t>
  </si>
  <si>
    <t>Retiro de ductos de aires.</t>
  </si>
  <si>
    <t>Retiro de trasiego general incluye trasporte, personal y destino final</t>
  </si>
  <si>
    <t>PISO</t>
  </si>
  <si>
    <t>Afinado de piso en mortero 1cm aprox.</t>
  </si>
  <si>
    <t>m2</t>
  </si>
  <si>
    <t>Preparación Superficie</t>
  </si>
  <si>
    <t>Piso en micro-mortero Precio por contrato completo</t>
  </si>
  <si>
    <t>Logo en MICRO-MORTERO</t>
  </si>
  <si>
    <t>Un</t>
  </si>
  <si>
    <t>Suministro e instalación de protección para piso en cartón  y cinta</t>
  </si>
  <si>
    <t>Recubrimiento en micro-cemento de tapa de mueble counter</t>
  </si>
  <si>
    <t>Gl</t>
  </si>
  <si>
    <t>Fachada</t>
  </si>
  <si>
    <t>Suministro e instalación de fachada en vidrio de 10 mm con tocetos en acero inoxidable</t>
  </si>
  <si>
    <t>Suministro e instalación de cortina metálica enrollable de apertura manual micro perforada color negro mate.</t>
  </si>
  <si>
    <t>Drywall</t>
  </si>
  <si>
    <t>Muros livianos</t>
  </si>
  <si>
    <t>Suministro e instalación de muro doble cara Drywall</t>
  </si>
  <si>
    <t>Suministro e instalación de muro en drywall hasta 60cm</t>
  </si>
  <si>
    <t>Suministro e instalación de techo en drywall para vestieres y pasillo</t>
  </si>
  <si>
    <t>Dintel en superboard</t>
  </si>
  <si>
    <t>Resanes en muros existentes sencillo</t>
  </si>
  <si>
    <t>Acabado de Muro ladrillo a la vista acabado rústico</t>
  </si>
  <si>
    <t>Afinado de muro en mortero</t>
  </si>
  <si>
    <t>Enchape para muro en baldosa de 26x8 cm para muro incluye pegacor</t>
  </si>
  <si>
    <t>PINTURA</t>
  </si>
  <si>
    <t xml:space="preserve">Aplicación de pintura  satinado  tipo 1 viniltex   en cielo de losa vaciada incluye armada de andamios </t>
  </si>
  <si>
    <t>Aplicación de pintura  tipo 1 detalladas y 3 manos)s, incluye armada de andamios para muros</t>
  </si>
  <si>
    <t>Vinilo tipo 1 aplicación 1 mano</t>
  </si>
  <si>
    <t>Pintura de ductos de aire acondicionado</t>
  </si>
  <si>
    <t>Pintura tubería</t>
  </si>
  <si>
    <t>REDES ELECTRICAS</t>
  </si>
  <si>
    <t>Traslado de tablero eléctrico de 24 circuitos trifásico</t>
  </si>
  <si>
    <t>ml</t>
  </si>
  <si>
    <t>Prolongación acometida para tablero general en tubería emt de 1 ½ y 34 cables n4 y 1 n6</t>
  </si>
  <si>
    <t>Suministro e instalación de salida eléctrica para tomas incluidas antenas</t>
  </si>
  <si>
    <t>Suministro e instalación de salida eléctrica par iluminación en tubería emt incluye cajas octogonal y prensa estopa y encauchetado 3x 14</t>
  </si>
  <si>
    <t>Suministro e instalación de caja control para iluminación</t>
  </si>
  <si>
    <t>Suministro e instalación de interruptor sencillo levitón</t>
  </si>
  <si>
    <t>Suministro , armado e instalación de estructura metálica para iluminación tipo chanel ranurado con sus respectivos herrajes con pintura electroestática color negro mate y su respectivo transporte desde Bogotá</t>
  </si>
  <si>
    <t>Suministro de lámparas para iluminación tipo reflector</t>
  </si>
  <si>
    <t>Instalación de lámparas para iluminación tipo reflector</t>
  </si>
  <si>
    <t>Glb</t>
  </si>
  <si>
    <t>Suministro de lámpara 2 x32 w</t>
  </si>
  <si>
    <t>Instalacion de lámpara 2 x32 w</t>
  </si>
  <si>
    <t>Suministro Spot Vestier</t>
  </si>
  <si>
    <t>Suministro Reflector tipo Campana d=28cm, acabado según requerimiento</t>
  </si>
  <si>
    <t>Instalación de lámparas para iluminación de empotrar o sobreponer (punto de pago 2-pasillo vestier 2,tipo billar14</t>
  </si>
  <si>
    <t>Suministro riel incluye conectores</t>
  </si>
  <si>
    <t>Instalación de riel para reflectores</t>
  </si>
  <si>
    <t>Suministro e instalación de punto para voz y datos incluye face plate , fijación y caja</t>
  </si>
  <si>
    <t>Suministro e instalación de salida para sonido incluye tubería pvc de ¾  ,cajas ,aprox ,50 Ml</t>
  </si>
  <si>
    <t>Diseño electrico, planos en autocad firmados por Ing, Calculista para aprobacion de RETIE</t>
  </si>
  <si>
    <t>AIRE ACONDICIONADO</t>
  </si>
  <si>
    <t>SEI de acometida eléctrica para a, a, tipo paquete, desde tablero  eléctrico general, En tubería conduitemt de 1" 1/2y acometida en cable 2#8 + 1#10 ,</t>
  </si>
  <si>
    <t>Revisión, Mantenimiento y Traslado de Unidades,  incluye izado y alineación de equipo y elementos de fijación</t>
  </si>
  <si>
    <t xml:space="preserve">Suministro e instalación de filtro lavable </t>
  </si>
  <si>
    <t xml:space="preserve">Conductos Fibra Vidrio Gold,Fiber Glass </t>
  </si>
  <si>
    <t>Difusores de Suministro Cuatro Vias 10" x 10"</t>
  </si>
  <si>
    <t>Rejillas Extraccion "x x"</t>
  </si>
  <si>
    <t>Montaje Difusores y Rejillas</t>
  </si>
  <si>
    <t>Suministro e instalación termonstato de Control</t>
  </si>
  <si>
    <t xml:space="preserve">SEI de tubería conduit emt de 1/2" para tendido de tubería para control  en 6#16 blindado y apantalladopara torres de enfriamiento </t>
  </si>
  <si>
    <t>Extensión de tubería de suministro y retorno a torre enfriamiento en polipropileno 3/4"</t>
  </si>
  <si>
    <t>Extensión punto de drenaje en tubería PVC</t>
  </si>
  <si>
    <t>Ajuste Balanceo y Puesta en Marcha  RT</t>
  </si>
  <si>
    <t>Ajuste Balanceo y Puesta en Marcha  Difusores</t>
  </si>
  <si>
    <t>Servicio de Diseño, Acompañamiento, Dirección y Control de Obra</t>
  </si>
  <si>
    <t xml:space="preserve">Otros </t>
  </si>
  <si>
    <t xml:space="preserve">Aseo durante la obra (aseo diario) </t>
  </si>
  <si>
    <t>sem</t>
  </si>
  <si>
    <t>Aseo entrega final de obra -para entrega</t>
  </si>
  <si>
    <t>Acompañamiento Diario Montaje Mobiliario y Puesa en Servicio (Incluye Aseo y Remates Generales)</t>
  </si>
  <si>
    <t>Día</t>
  </si>
  <si>
    <t>PRELIMINARES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</si>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</sst>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0_)"/>
    <numFmt numFmtId="166" formatCode="&quot;$&quot;* #,##0.00;&quot;$&quot;* #,##0.00;_(@_)"/>
    <numFmt numFmtId="167" formatCode="_-&quot;$&quot;* #,##0.00_-;\-&quot;$&quot;* #,##0.00_-;_-&quot;$&quot;* &quot;-&quot;??_-;_-@_-"/>
    <numFmt numFmtId="168" formatCode="d&quot; de &quot;mmm&quot; de &quot;yy"/>
    <numFmt numFmtId="170" formatCode="_(* #,##0_);_(* \(#,##0\);_(* \-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urier"/>
      <family val="3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165" fontId="5" fillId="0" borderId="0"/>
  </cellStyleXfs>
  <cellXfs count="34">
    <xf numFmtId="0" fontId="0" fillId="0" borderId="0" xfId="0"/>
    <xf numFmtId="0" fontId="3" fillId="0" borderId="1" xfId="3" applyFont="1" applyBorder="1" applyAlignment="1">
      <alignment horizontal="justify" vertical="center"/>
    </xf>
    <xf numFmtId="0" fontId="3" fillId="0" borderId="1" xfId="3" applyFont="1" applyBorder="1" applyAlignment="1">
      <alignment horizontal="left" vertical="center" wrapText="1"/>
    </xf>
    <xf numFmtId="0" fontId="4" fillId="0" borderId="1" xfId="3" applyFont="1" applyBorder="1" applyAlignment="1">
      <alignment horizontal="center" vertical="center"/>
    </xf>
    <xf numFmtId="164" fontId="4" fillId="0" borderId="1" xfId="3" applyNumberFormat="1" applyFont="1" applyBorder="1" applyAlignment="1">
      <alignment horizontal="right" vertical="center"/>
    </xf>
    <xf numFmtId="2" fontId="4" fillId="0" borderId="1" xfId="1" applyNumberFormat="1" applyFont="1" applyFill="1" applyBorder="1" applyAlignment="1">
      <alignment horizontal="center" vertical="center"/>
    </xf>
    <xf numFmtId="166" fontId="3" fillId="0" borderId="0" xfId="4" applyNumberFormat="1" applyFont="1" applyAlignment="1">
      <alignment vertical="center"/>
    </xf>
    <xf numFmtId="0" fontId="4" fillId="0" borderId="1" xfId="3" applyFont="1" applyBorder="1" applyAlignment="1">
      <alignment horizontal="justify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7" fontId="4" fillId="0" borderId="1" xfId="4" applyNumberFormat="1" applyFont="1" applyBorder="1" applyAlignment="1">
      <alignment vertical="center"/>
    </xf>
    <xf numFmtId="0" fontId="4" fillId="0" borderId="1" xfId="3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64" fontId="3" fillId="0" borderId="1" xfId="4" applyNumberFormat="1" applyFont="1" applyBorder="1" applyAlignment="1">
      <alignment vertical="center"/>
    </xf>
    <xf numFmtId="43" fontId="4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7" fontId="3" fillId="0" borderId="1" xfId="4" applyNumberFormat="1" applyFont="1" applyBorder="1" applyAlignment="1">
      <alignment vertical="center"/>
    </xf>
    <xf numFmtId="44" fontId="4" fillId="0" borderId="1" xfId="2" applyFont="1" applyBorder="1" applyAlignment="1">
      <alignment horizontal="right" vertical="center"/>
    </xf>
    <xf numFmtId="0" fontId="6" fillId="0" borderId="1" xfId="3" applyFont="1" applyBorder="1" applyAlignment="1">
      <alignment horizontal="justify" vertical="center"/>
    </xf>
    <xf numFmtId="0" fontId="6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horizontal="center" vertical="center"/>
    </xf>
    <xf numFmtId="2" fontId="7" fillId="0" borderId="1" xfId="1" applyNumberFormat="1" applyFont="1" applyFill="1" applyBorder="1" applyAlignment="1">
      <alignment horizontal="center" vertical="center"/>
    </xf>
    <xf numFmtId="167" fontId="6" fillId="0" borderId="1" xfId="4" applyNumberFormat="1" applyFont="1" applyBorder="1" applyAlignment="1">
      <alignment vertical="center"/>
    </xf>
    <xf numFmtId="0" fontId="7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horizontal="justify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49" fontId="8" fillId="2" borderId="2" xfId="0" applyNumberFormat="1" applyFont="1" applyFill="1" applyBorder="1" applyAlignment="1">
      <alignment vertical="center"/>
    </xf>
    <xf numFmtId="168" fontId="8" fillId="2" borderId="1" xfId="0" applyNumberFormat="1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170" fontId="8" fillId="2" borderId="1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</cellXfs>
  <cellStyles count="5">
    <cellStyle name="Millares" xfId="1" builtinId="3"/>
    <cellStyle name="Moneda" xfId="2" builtinId="4"/>
    <cellStyle name="Normal" xfId="0" builtinId="0"/>
    <cellStyle name="Normal 2" xfId="3" xr:uid="{4ED76C19-4DA0-460C-9E96-F2EB61A53B49}"/>
    <cellStyle name="Normal_LISTA S.E.D" xfId="4" xr:uid="{7DA8416A-FD00-427E-A1C0-CE6D69B5AD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Tesis\Ground%20truth\ActasAvance015-140-Expofaro.xlsx" TargetMode="External"/><Relationship Id="rId1" Type="http://schemas.openxmlformats.org/officeDocument/2006/relationships/externalLinkPath" Target="Ground%20truth/ActasAvance015-140-Expofa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3"/>
      <sheetName val="V2"/>
      <sheetName val="V1"/>
      <sheetName val="Andres"/>
      <sheetName val="Aire"/>
      <sheetName val="Iluminacion"/>
      <sheetName val="Piso"/>
      <sheetName val="Oferta"/>
      <sheetName val="Hoja1"/>
    </sheetNames>
    <sheetDataSet>
      <sheetData sheetId="0"/>
      <sheetData sheetId="1"/>
      <sheetData sheetId="2"/>
      <sheetData sheetId="3">
        <row r="3">
          <cell r="C3" t="str">
            <v>VALOR UNITARIO</v>
          </cell>
        </row>
        <row r="4">
          <cell r="C4"/>
        </row>
        <row r="5">
          <cell r="C5">
            <v>10600</v>
          </cell>
        </row>
        <row r="7">
          <cell r="C7">
            <v>10600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C3BE-2E87-4349-B6D5-5867FBFA3C21}">
  <dimension ref="A1:F73"/>
  <sheetViews>
    <sheetView tabSelected="1" workbookViewId="0">
      <selection activeCell="L5" sqref="L5"/>
    </sheetView>
  </sheetViews>
  <sheetFormatPr baseColWidth="10" defaultRowHeight="15" x14ac:dyDescent="0.25"/>
  <cols>
    <col min="2" max="2" width="21.85546875" customWidth="1"/>
    <col min="4" max="4" width="13.7109375" bestFit="1" customWidth="1"/>
    <col min="5" max="5" width="24.140625" bestFit="1" customWidth="1"/>
    <col min="6" max="6" width="13.42578125" bestFit="1" customWidth="1"/>
  </cols>
  <sheetData>
    <row r="1" spans="1:6" x14ac:dyDescent="0.25">
      <c r="A1" s="29" t="s">
        <v>82</v>
      </c>
      <c r="B1" s="30" t="s">
        <v>83</v>
      </c>
      <c r="C1" s="31" t="s">
        <v>84</v>
      </c>
      <c r="D1" s="32" t="s">
        <v>85</v>
      </c>
      <c r="E1" s="32" t="s">
        <v>86</v>
      </c>
      <c r="F1" s="33" t="s">
        <v>87</v>
      </c>
    </row>
    <row r="2" spans="1:6" x14ac:dyDescent="0.25">
      <c r="A2" s="1">
        <v>1</v>
      </c>
      <c r="B2" s="2" t="s">
        <v>81</v>
      </c>
      <c r="C2" s="3"/>
      <c r="D2" s="5"/>
      <c r="E2" s="4"/>
      <c r="F2" s="6"/>
    </row>
    <row r="3" spans="1:6" ht="40.5" x14ac:dyDescent="0.25">
      <c r="A3" s="7"/>
      <c r="B3" s="8" t="s">
        <v>0</v>
      </c>
      <c r="C3" s="9" t="s">
        <v>1</v>
      </c>
      <c r="D3" s="5">
        <v>1</v>
      </c>
      <c r="E3" s="4">
        <f>I3</f>
        <v>0</v>
      </c>
      <c r="F3" s="10">
        <f t="shared" ref="F3:F8" si="0">D3*E3</f>
        <v>0</v>
      </c>
    </row>
    <row r="4" spans="1:6" ht="54" x14ac:dyDescent="0.25">
      <c r="A4" s="7"/>
      <c r="B4" s="8" t="s">
        <v>2</v>
      </c>
      <c r="C4" s="9" t="s">
        <v>3</v>
      </c>
      <c r="D4" s="5">
        <f>[1]Andres!C2</f>
        <v>0</v>
      </c>
      <c r="E4" s="4">
        <f>I4</f>
        <v>0</v>
      </c>
      <c r="F4" s="10">
        <f t="shared" si="0"/>
        <v>0</v>
      </c>
    </row>
    <row r="5" spans="1:6" ht="27" x14ac:dyDescent="0.25">
      <c r="A5" s="7"/>
      <c r="B5" s="8" t="s">
        <v>4</v>
      </c>
      <c r="C5" s="9" t="s">
        <v>5</v>
      </c>
      <c r="D5" s="5"/>
      <c r="E5" s="4">
        <f>L5</f>
        <v>0</v>
      </c>
      <c r="F5" s="10">
        <f t="shared" si="0"/>
        <v>0</v>
      </c>
    </row>
    <row r="6" spans="1:6" ht="54" x14ac:dyDescent="0.25">
      <c r="A6" s="7"/>
      <c r="B6" s="8" t="s">
        <v>6</v>
      </c>
      <c r="C6" s="9" t="s">
        <v>3</v>
      </c>
      <c r="D6" s="5">
        <f>[1]Andres!C4</f>
        <v>0</v>
      </c>
      <c r="E6" s="4">
        <f>I6</f>
        <v>0</v>
      </c>
      <c r="F6" s="10">
        <f t="shared" si="0"/>
        <v>0</v>
      </c>
    </row>
    <row r="7" spans="1:6" x14ac:dyDescent="0.25">
      <c r="A7" s="7"/>
      <c r="B7" s="8" t="s">
        <v>7</v>
      </c>
      <c r="C7" s="9" t="s">
        <v>5</v>
      </c>
      <c r="D7" s="5">
        <v>25</v>
      </c>
      <c r="E7" s="4">
        <f>4000*1.15</f>
        <v>4600</v>
      </c>
      <c r="F7" s="10">
        <f t="shared" si="0"/>
        <v>115000</v>
      </c>
    </row>
    <row r="8" spans="1:6" ht="40.5" x14ac:dyDescent="0.25">
      <c r="A8" s="7"/>
      <c r="B8" s="8" t="s">
        <v>8</v>
      </c>
      <c r="C8" s="9" t="s">
        <v>1</v>
      </c>
      <c r="D8" s="5">
        <f>[1]Andres!C5</f>
        <v>10600</v>
      </c>
      <c r="E8" s="4">
        <f>I8</f>
        <v>0</v>
      </c>
      <c r="F8" s="10">
        <f t="shared" si="0"/>
        <v>0</v>
      </c>
    </row>
    <row r="9" spans="1:6" x14ac:dyDescent="0.25">
      <c r="A9" s="1">
        <v>2</v>
      </c>
      <c r="B9" s="2" t="s">
        <v>9</v>
      </c>
      <c r="C9" s="3"/>
      <c r="D9" s="5"/>
      <c r="E9" s="4"/>
      <c r="F9" s="10"/>
    </row>
    <row r="10" spans="1:6" ht="27" x14ac:dyDescent="0.25">
      <c r="A10" s="7"/>
      <c r="B10" s="11" t="s">
        <v>10</v>
      </c>
      <c r="C10" s="12" t="s">
        <v>11</v>
      </c>
      <c r="D10" s="5">
        <f>[1]Andres!C7</f>
        <v>10600</v>
      </c>
      <c r="E10" s="4">
        <f t="shared" ref="E10:E15" si="1">I10</f>
        <v>0</v>
      </c>
      <c r="F10" s="10">
        <f t="shared" ref="F10:F15" si="2">D10*E10</f>
        <v>0</v>
      </c>
    </row>
    <row r="11" spans="1:6" x14ac:dyDescent="0.25">
      <c r="A11" s="7"/>
      <c r="B11" s="11" t="s">
        <v>12</v>
      </c>
      <c r="C11" s="12" t="s">
        <v>11</v>
      </c>
      <c r="D11" s="5">
        <v>60</v>
      </c>
      <c r="E11" s="4">
        <f t="shared" si="1"/>
        <v>0</v>
      </c>
      <c r="F11" s="10">
        <f t="shared" si="2"/>
        <v>0</v>
      </c>
    </row>
    <row r="12" spans="1:6" ht="40.5" x14ac:dyDescent="0.25">
      <c r="A12" s="7"/>
      <c r="B12" s="11" t="s">
        <v>13</v>
      </c>
      <c r="C12" s="12" t="s">
        <v>11</v>
      </c>
      <c r="D12" s="5">
        <v>60</v>
      </c>
      <c r="E12" s="4">
        <f t="shared" si="1"/>
        <v>0</v>
      </c>
      <c r="F12" s="10">
        <f t="shared" si="2"/>
        <v>0</v>
      </c>
    </row>
    <row r="13" spans="1:6" x14ac:dyDescent="0.25">
      <c r="A13" s="7"/>
      <c r="B13" s="11" t="s">
        <v>14</v>
      </c>
      <c r="C13" s="12" t="s">
        <v>15</v>
      </c>
      <c r="D13" s="5">
        <v>1</v>
      </c>
      <c r="E13" s="4">
        <f t="shared" si="1"/>
        <v>0</v>
      </c>
      <c r="F13" s="10">
        <f t="shared" si="2"/>
        <v>0</v>
      </c>
    </row>
    <row r="14" spans="1:6" ht="40.5" x14ac:dyDescent="0.25">
      <c r="A14" s="7"/>
      <c r="B14" s="11" t="s">
        <v>16</v>
      </c>
      <c r="C14" s="12" t="s">
        <v>11</v>
      </c>
      <c r="D14" s="5">
        <v>58</v>
      </c>
      <c r="E14" s="4">
        <f t="shared" si="1"/>
        <v>0</v>
      </c>
      <c r="F14" s="10">
        <f t="shared" si="2"/>
        <v>0</v>
      </c>
    </row>
    <row r="15" spans="1:6" ht="40.5" x14ac:dyDescent="0.25">
      <c r="A15" s="7"/>
      <c r="B15" s="11" t="s">
        <v>17</v>
      </c>
      <c r="C15" s="12" t="s">
        <v>18</v>
      </c>
      <c r="D15" s="5">
        <v>1</v>
      </c>
      <c r="E15" s="4">
        <f t="shared" si="1"/>
        <v>0</v>
      </c>
      <c r="F15" s="10">
        <f t="shared" si="2"/>
        <v>0</v>
      </c>
    </row>
    <row r="16" spans="1:6" x14ac:dyDescent="0.25">
      <c r="A16" s="1">
        <v>3</v>
      </c>
      <c r="B16" s="2" t="s">
        <v>19</v>
      </c>
      <c r="C16" s="12"/>
      <c r="D16" s="5"/>
      <c r="E16" s="4"/>
      <c r="F16" s="10"/>
    </row>
    <row r="17" spans="1:6" ht="54" x14ac:dyDescent="0.25">
      <c r="A17" s="7"/>
      <c r="B17" s="8" t="s">
        <v>20</v>
      </c>
      <c r="C17" s="12" t="s">
        <v>11</v>
      </c>
      <c r="D17" s="5">
        <v>12.2</v>
      </c>
      <c r="E17" s="4">
        <f>I17</f>
        <v>0</v>
      </c>
      <c r="F17" s="10">
        <f>D17*E17</f>
        <v>0</v>
      </c>
    </row>
    <row r="18" spans="1:6" ht="54" x14ac:dyDescent="0.25">
      <c r="A18" s="7"/>
      <c r="B18" s="8" t="s">
        <v>21</v>
      </c>
      <c r="C18" s="12" t="s">
        <v>11</v>
      </c>
      <c r="D18" s="5">
        <v>9.9</v>
      </c>
      <c r="E18" s="4">
        <f>I18</f>
        <v>0</v>
      </c>
      <c r="F18" s="10">
        <f>D18*E18</f>
        <v>0</v>
      </c>
    </row>
    <row r="19" spans="1:6" x14ac:dyDescent="0.25">
      <c r="A19" s="1">
        <v>4</v>
      </c>
      <c r="B19" s="2" t="s">
        <v>22</v>
      </c>
      <c r="C19" s="3"/>
      <c r="D19" s="5"/>
      <c r="E19" s="4"/>
      <c r="F19" s="13"/>
    </row>
    <row r="20" spans="1:6" x14ac:dyDescent="0.25">
      <c r="A20" s="1"/>
      <c r="B20" s="2" t="s">
        <v>23</v>
      </c>
      <c r="C20" s="3"/>
      <c r="D20" s="5"/>
      <c r="E20" s="4"/>
      <c r="F20" s="10"/>
    </row>
    <row r="21" spans="1:6" ht="27" x14ac:dyDescent="0.25">
      <c r="A21" s="7"/>
      <c r="B21" s="8" t="s">
        <v>24</v>
      </c>
      <c r="C21" s="12" t="s">
        <v>11</v>
      </c>
      <c r="D21" s="14">
        <v>45.8</v>
      </c>
      <c r="E21" s="4">
        <f>L21</f>
        <v>0</v>
      </c>
      <c r="F21" s="10">
        <f>D21*E21</f>
        <v>0</v>
      </c>
    </row>
    <row r="22" spans="1:6" ht="40.5" x14ac:dyDescent="0.25">
      <c r="A22" s="7"/>
      <c r="B22" s="8" t="s">
        <v>25</v>
      </c>
      <c r="C22" s="12" t="s">
        <v>5</v>
      </c>
      <c r="D22" s="14">
        <v>14</v>
      </c>
      <c r="E22" s="4">
        <f>L22</f>
        <v>0</v>
      </c>
      <c r="F22" s="10">
        <f>D22*E22</f>
        <v>0</v>
      </c>
    </row>
    <row r="23" spans="1:6" ht="40.5" x14ac:dyDescent="0.25">
      <c r="A23" s="7"/>
      <c r="B23" s="8" t="s">
        <v>26</v>
      </c>
      <c r="C23" s="12" t="s">
        <v>11</v>
      </c>
      <c r="D23" s="14">
        <v>6.4</v>
      </c>
      <c r="E23" s="4">
        <f>L23</f>
        <v>0</v>
      </c>
      <c r="F23" s="10">
        <f>D23*E23</f>
        <v>0</v>
      </c>
    </row>
    <row r="24" spans="1:6" x14ac:dyDescent="0.25">
      <c r="A24" s="7"/>
      <c r="B24" s="8" t="s">
        <v>27</v>
      </c>
      <c r="C24" s="12" t="s">
        <v>11</v>
      </c>
      <c r="D24" s="14">
        <v>23.5</v>
      </c>
      <c r="E24" s="4">
        <f>I24</f>
        <v>0</v>
      </c>
      <c r="F24" s="10">
        <f>D24*E24</f>
        <v>0</v>
      </c>
    </row>
    <row r="25" spans="1:6" ht="27" x14ac:dyDescent="0.25">
      <c r="A25" s="7"/>
      <c r="B25" s="8" t="s">
        <v>28</v>
      </c>
      <c r="C25" s="12" t="s">
        <v>11</v>
      </c>
      <c r="D25" s="14">
        <v>30</v>
      </c>
      <c r="E25" s="4">
        <f>L25</f>
        <v>0</v>
      </c>
      <c r="F25" s="10">
        <f>D25*E25</f>
        <v>0</v>
      </c>
    </row>
    <row r="26" spans="1:6" ht="27" x14ac:dyDescent="0.25">
      <c r="A26" s="7"/>
      <c r="B26" s="15" t="s">
        <v>29</v>
      </c>
      <c r="C26" s="12"/>
      <c r="D26" s="14"/>
      <c r="E26" s="4"/>
      <c r="F26" s="10"/>
    </row>
    <row r="27" spans="1:6" ht="27" x14ac:dyDescent="0.25">
      <c r="A27" s="7"/>
      <c r="B27" s="8" t="s">
        <v>30</v>
      </c>
      <c r="C27" s="12" t="s">
        <v>11</v>
      </c>
      <c r="D27" s="14">
        <v>56.5</v>
      </c>
      <c r="E27" s="4">
        <f>18000*1.15</f>
        <v>20700</v>
      </c>
      <c r="F27" s="10">
        <f>D27*E27</f>
        <v>1169550</v>
      </c>
    </row>
    <row r="28" spans="1:6" ht="40.5" x14ac:dyDescent="0.25">
      <c r="A28" s="7"/>
      <c r="B28" s="8" t="s">
        <v>31</v>
      </c>
      <c r="C28" s="12" t="s">
        <v>11</v>
      </c>
      <c r="D28" s="14">
        <v>56.5</v>
      </c>
      <c r="E28" s="4">
        <f>I28</f>
        <v>0</v>
      </c>
      <c r="F28" s="10">
        <f>D28*E28</f>
        <v>0</v>
      </c>
    </row>
    <row r="29" spans="1:6" x14ac:dyDescent="0.25">
      <c r="A29" s="1">
        <v>5</v>
      </c>
      <c r="B29" s="2" t="s">
        <v>32</v>
      </c>
      <c r="C29" s="3"/>
      <c r="D29" s="5"/>
      <c r="E29" s="4"/>
      <c r="F29" s="16"/>
    </row>
    <row r="30" spans="1:6" ht="54" x14ac:dyDescent="0.25">
      <c r="A30" s="7"/>
      <c r="B30" s="8" t="s">
        <v>33</v>
      </c>
      <c r="C30" s="3" t="s">
        <v>11</v>
      </c>
      <c r="D30" s="14">
        <v>111</v>
      </c>
      <c r="E30" s="4">
        <f>I30</f>
        <v>0</v>
      </c>
      <c r="F30" s="10">
        <f>D30*E30</f>
        <v>0</v>
      </c>
    </row>
    <row r="31" spans="1:6" ht="54" x14ac:dyDescent="0.25">
      <c r="A31" s="7"/>
      <c r="B31" s="8" t="s">
        <v>34</v>
      </c>
      <c r="C31" s="3" t="s">
        <v>11</v>
      </c>
      <c r="D31" s="14">
        <v>176.5</v>
      </c>
      <c r="E31" s="4">
        <f>I31</f>
        <v>0</v>
      </c>
      <c r="F31" s="10">
        <f>D31*E31</f>
        <v>0</v>
      </c>
    </row>
    <row r="32" spans="1:6" ht="27" x14ac:dyDescent="0.25">
      <c r="A32" s="7"/>
      <c r="B32" s="8" t="s">
        <v>35</v>
      </c>
      <c r="C32" s="3" t="s">
        <v>11</v>
      </c>
      <c r="D32" s="14">
        <v>56.5</v>
      </c>
      <c r="E32" s="4">
        <f>I32</f>
        <v>0</v>
      </c>
      <c r="F32" s="10">
        <f>D32*E32</f>
        <v>0</v>
      </c>
    </row>
    <row r="33" spans="1:6" ht="27" x14ac:dyDescent="0.25">
      <c r="A33" s="7"/>
      <c r="B33" s="8" t="s">
        <v>36</v>
      </c>
      <c r="C33" s="3" t="s">
        <v>11</v>
      </c>
      <c r="D33" s="14">
        <v>52.5</v>
      </c>
      <c r="E33" s="4">
        <f>I33</f>
        <v>0</v>
      </c>
      <c r="F33" s="10">
        <f>D33*E33</f>
        <v>0</v>
      </c>
    </row>
    <row r="34" spans="1:6" x14ac:dyDescent="0.25">
      <c r="A34" s="7"/>
      <c r="B34" s="8" t="s">
        <v>37</v>
      </c>
      <c r="C34" s="3" t="s">
        <v>5</v>
      </c>
      <c r="D34" s="14">
        <v>20</v>
      </c>
      <c r="E34" s="4">
        <f>I34</f>
        <v>0</v>
      </c>
      <c r="F34" s="10">
        <f>D34*E34</f>
        <v>0</v>
      </c>
    </row>
    <row r="35" spans="1:6" x14ac:dyDescent="0.25">
      <c r="A35" s="1">
        <v>6</v>
      </c>
      <c r="B35" s="2" t="s">
        <v>38</v>
      </c>
      <c r="C35" s="3"/>
      <c r="D35" s="5"/>
      <c r="E35" s="4"/>
      <c r="F35" s="16"/>
    </row>
    <row r="36" spans="1:6" ht="40.5" x14ac:dyDescent="0.25">
      <c r="A36" s="7"/>
      <c r="B36" s="8" t="s">
        <v>39</v>
      </c>
      <c r="C36" s="3" t="s">
        <v>40</v>
      </c>
      <c r="D36" s="14">
        <v>1</v>
      </c>
      <c r="E36" s="4">
        <f>I36</f>
        <v>0</v>
      </c>
      <c r="F36" s="10">
        <f>D36*E36</f>
        <v>0</v>
      </c>
    </row>
    <row r="37" spans="1:6" ht="54" x14ac:dyDescent="0.25">
      <c r="A37" s="7"/>
      <c r="B37" s="8" t="s">
        <v>41</v>
      </c>
      <c r="C37" s="12" t="s">
        <v>15</v>
      </c>
      <c r="D37" s="14">
        <v>14</v>
      </c>
      <c r="E37" s="4">
        <f>I37</f>
        <v>0</v>
      </c>
      <c r="F37" s="10">
        <f>D37*E37</f>
        <v>0</v>
      </c>
    </row>
    <row r="38" spans="1:6" ht="40.5" x14ac:dyDescent="0.25">
      <c r="A38" s="7"/>
      <c r="B38" s="8" t="s">
        <v>42</v>
      </c>
      <c r="C38" s="12" t="s">
        <v>15</v>
      </c>
      <c r="D38" s="14">
        <v>12</v>
      </c>
      <c r="E38" s="4">
        <f>L38</f>
        <v>0</v>
      </c>
      <c r="F38" s="10">
        <f>D38*E38</f>
        <v>0</v>
      </c>
    </row>
    <row r="39" spans="1:6" ht="81" x14ac:dyDescent="0.25">
      <c r="A39" s="7"/>
      <c r="B39" s="8" t="s">
        <v>43</v>
      </c>
      <c r="C39" s="12" t="s">
        <v>15</v>
      </c>
      <c r="D39" s="14">
        <v>10</v>
      </c>
      <c r="E39" s="17">
        <f>L39</f>
        <v>0</v>
      </c>
      <c r="F39" s="10">
        <f t="shared" ref="F39:F51" si="3">D39*E39</f>
        <v>0</v>
      </c>
    </row>
    <row r="40" spans="1:6" ht="40.5" x14ac:dyDescent="0.25">
      <c r="A40" s="7"/>
      <c r="B40" s="8" t="s">
        <v>44</v>
      </c>
      <c r="C40" s="12" t="s">
        <v>15</v>
      </c>
      <c r="D40" s="14">
        <v>1</v>
      </c>
      <c r="E40" s="17">
        <f>I40</f>
        <v>0</v>
      </c>
      <c r="F40" s="10">
        <f t="shared" si="3"/>
        <v>0</v>
      </c>
    </row>
    <row r="41" spans="1:6" ht="27" x14ac:dyDescent="0.25">
      <c r="A41" s="7"/>
      <c r="B41" s="8" t="s">
        <v>45</v>
      </c>
      <c r="C41" s="12" t="s">
        <v>15</v>
      </c>
      <c r="D41" s="14">
        <v>2</v>
      </c>
      <c r="E41" s="17">
        <f>I41</f>
        <v>0</v>
      </c>
      <c r="F41" s="10">
        <f t="shared" si="3"/>
        <v>0</v>
      </c>
    </row>
    <row r="42" spans="1:6" ht="121.5" x14ac:dyDescent="0.25">
      <c r="A42" s="7"/>
      <c r="B42" s="8" t="s">
        <v>46</v>
      </c>
      <c r="C42" s="12" t="s">
        <v>5</v>
      </c>
      <c r="D42" s="14">
        <v>15</v>
      </c>
      <c r="E42" s="17">
        <f>I42</f>
        <v>0</v>
      </c>
      <c r="F42" s="10">
        <f t="shared" si="3"/>
        <v>0</v>
      </c>
    </row>
    <row r="43" spans="1:6" ht="40.5" x14ac:dyDescent="0.25">
      <c r="A43" s="7"/>
      <c r="B43" s="8" t="s">
        <v>47</v>
      </c>
      <c r="C43" s="12" t="s">
        <v>15</v>
      </c>
      <c r="D43" s="14">
        <v>35</v>
      </c>
      <c r="E43" s="17">
        <f>I43</f>
        <v>0</v>
      </c>
      <c r="F43" s="10">
        <f t="shared" si="3"/>
        <v>0</v>
      </c>
    </row>
    <row r="44" spans="1:6" ht="40.5" x14ac:dyDescent="0.25">
      <c r="A44" s="7"/>
      <c r="B44" s="8" t="s">
        <v>48</v>
      </c>
      <c r="C44" s="12" t="s">
        <v>49</v>
      </c>
      <c r="D44" s="14">
        <v>35</v>
      </c>
      <c r="E44" s="17">
        <f>L44</f>
        <v>0</v>
      </c>
      <c r="F44" s="10">
        <f t="shared" si="3"/>
        <v>0</v>
      </c>
    </row>
    <row r="45" spans="1:6" ht="27" x14ac:dyDescent="0.25">
      <c r="A45" s="7"/>
      <c r="B45" s="8" t="s">
        <v>50</v>
      </c>
      <c r="C45" s="12" t="s">
        <v>15</v>
      </c>
      <c r="D45" s="14">
        <v>2</v>
      </c>
      <c r="E45" s="17">
        <f>I45</f>
        <v>0</v>
      </c>
      <c r="F45" s="10">
        <f t="shared" si="3"/>
        <v>0</v>
      </c>
    </row>
    <row r="46" spans="1:6" ht="27" x14ac:dyDescent="0.25">
      <c r="A46" s="7"/>
      <c r="B46" s="8" t="s">
        <v>51</v>
      </c>
      <c r="C46" s="12" t="s">
        <v>15</v>
      </c>
      <c r="D46" s="14">
        <v>2</v>
      </c>
      <c r="E46" s="17">
        <f>L46</f>
        <v>0</v>
      </c>
      <c r="F46" s="10">
        <f t="shared" si="3"/>
        <v>0</v>
      </c>
    </row>
    <row r="47" spans="1:6" x14ac:dyDescent="0.25">
      <c r="A47" s="7"/>
      <c r="B47" s="8" t="s">
        <v>52</v>
      </c>
      <c r="C47" s="12" t="s">
        <v>15</v>
      </c>
      <c r="D47" s="14">
        <v>2</v>
      </c>
      <c r="E47" s="17">
        <f>I47</f>
        <v>0</v>
      </c>
      <c r="F47" s="10">
        <f t="shared" si="3"/>
        <v>0</v>
      </c>
    </row>
    <row r="48" spans="1:6" ht="54" x14ac:dyDescent="0.25">
      <c r="A48" s="7"/>
      <c r="B48" s="8" t="s">
        <v>53</v>
      </c>
      <c r="C48" s="12" t="s">
        <v>15</v>
      </c>
      <c r="D48" s="14">
        <v>7</v>
      </c>
      <c r="E48" s="17">
        <f>I48</f>
        <v>0</v>
      </c>
      <c r="F48" s="10">
        <f t="shared" si="3"/>
        <v>0</v>
      </c>
    </row>
    <row r="49" spans="1:6" ht="67.5" x14ac:dyDescent="0.25">
      <c r="A49" s="7"/>
      <c r="B49" s="8" t="s">
        <v>54</v>
      </c>
      <c r="C49" s="12" t="s">
        <v>15</v>
      </c>
      <c r="D49" s="14">
        <v>13</v>
      </c>
      <c r="E49" s="17">
        <f>L49</f>
        <v>0</v>
      </c>
      <c r="F49" s="10">
        <f t="shared" si="3"/>
        <v>0</v>
      </c>
    </row>
    <row r="50" spans="1:6" ht="27" x14ac:dyDescent="0.25">
      <c r="A50" s="7"/>
      <c r="B50" s="8" t="s">
        <v>55</v>
      </c>
      <c r="C50" s="12" t="s">
        <v>15</v>
      </c>
      <c r="D50" s="14">
        <v>15</v>
      </c>
      <c r="E50" s="17">
        <f>I50</f>
        <v>0</v>
      </c>
      <c r="F50" s="10">
        <f t="shared" si="3"/>
        <v>0</v>
      </c>
    </row>
    <row r="51" spans="1:6" ht="27" x14ac:dyDescent="0.25">
      <c r="A51" s="7"/>
      <c r="B51" s="8" t="s">
        <v>56</v>
      </c>
      <c r="C51" s="12" t="s">
        <v>15</v>
      </c>
      <c r="D51" s="14">
        <v>15</v>
      </c>
      <c r="E51" s="17">
        <f>L51</f>
        <v>0</v>
      </c>
      <c r="F51" s="10">
        <f t="shared" si="3"/>
        <v>0</v>
      </c>
    </row>
    <row r="52" spans="1:6" ht="54" x14ac:dyDescent="0.25">
      <c r="A52" s="7"/>
      <c r="B52" s="8" t="s">
        <v>57</v>
      </c>
      <c r="C52" s="12" t="s">
        <v>15</v>
      </c>
      <c r="D52" s="5">
        <v>1</v>
      </c>
      <c r="E52" s="4">
        <f>I52</f>
        <v>0</v>
      </c>
      <c r="F52" s="10">
        <f>D52*E52</f>
        <v>0</v>
      </c>
    </row>
    <row r="53" spans="1:6" ht="54" x14ac:dyDescent="0.25">
      <c r="A53" s="7"/>
      <c r="B53" s="8" t="s">
        <v>58</v>
      </c>
      <c r="C53" s="12" t="s">
        <v>15</v>
      </c>
      <c r="D53" s="5">
        <v>6</v>
      </c>
      <c r="E53" s="4">
        <f>I53</f>
        <v>0</v>
      </c>
      <c r="F53" s="10">
        <f>D53*E53</f>
        <v>0</v>
      </c>
    </row>
    <row r="54" spans="1:6" ht="54" x14ac:dyDescent="0.25">
      <c r="A54" s="7"/>
      <c r="B54" s="11" t="s">
        <v>59</v>
      </c>
      <c r="C54" s="3" t="s">
        <v>49</v>
      </c>
      <c r="D54" s="5">
        <v>1</v>
      </c>
      <c r="E54" s="4">
        <f>I54</f>
        <v>0</v>
      </c>
      <c r="F54" s="10">
        <f>D54*E54</f>
        <v>0</v>
      </c>
    </row>
    <row r="55" spans="1:6" x14ac:dyDescent="0.25">
      <c r="A55" s="18">
        <v>7</v>
      </c>
      <c r="B55" s="19" t="s">
        <v>60</v>
      </c>
      <c r="C55" s="20"/>
      <c r="D55" s="21"/>
      <c r="E55" s="4"/>
      <c r="F55" s="22"/>
    </row>
    <row r="56" spans="1:6" ht="94.5" x14ac:dyDescent="0.25">
      <c r="A56" s="7"/>
      <c r="B56" s="8" t="s">
        <v>61</v>
      </c>
      <c r="C56" s="12" t="s">
        <v>5</v>
      </c>
      <c r="D56" s="5">
        <v>14</v>
      </c>
      <c r="E56" s="4">
        <f t="shared" ref="E56:E69" si="4">I56</f>
        <v>0</v>
      </c>
      <c r="F56" s="10">
        <f t="shared" ref="F56:F69" si="5">D56*E56</f>
        <v>0</v>
      </c>
    </row>
    <row r="57" spans="1:6" ht="67.5" x14ac:dyDescent="0.25">
      <c r="A57" s="7"/>
      <c r="B57" s="23" t="s">
        <v>62</v>
      </c>
      <c r="C57" s="20" t="s">
        <v>15</v>
      </c>
      <c r="D57" s="21">
        <v>1</v>
      </c>
      <c r="E57" s="4">
        <f t="shared" si="4"/>
        <v>0</v>
      </c>
      <c r="F57" s="10">
        <f t="shared" si="5"/>
        <v>0</v>
      </c>
    </row>
    <row r="58" spans="1:6" ht="27" x14ac:dyDescent="0.25">
      <c r="A58" s="7"/>
      <c r="B58" s="23" t="s">
        <v>63</v>
      </c>
      <c r="C58" s="20" t="s">
        <v>15</v>
      </c>
      <c r="D58" s="21">
        <v>1</v>
      </c>
      <c r="E58" s="4">
        <f t="shared" si="4"/>
        <v>0</v>
      </c>
      <c r="F58" s="10">
        <f t="shared" si="5"/>
        <v>0</v>
      </c>
    </row>
    <row r="59" spans="1:6" ht="27" x14ac:dyDescent="0.25">
      <c r="A59" s="24"/>
      <c r="B59" s="25" t="s">
        <v>64</v>
      </c>
      <c r="C59" s="26" t="s">
        <v>11</v>
      </c>
      <c r="D59" s="5">
        <v>70</v>
      </c>
      <c r="E59" s="17">
        <f t="shared" si="4"/>
        <v>0</v>
      </c>
      <c r="F59" s="10">
        <f t="shared" si="5"/>
        <v>0</v>
      </c>
    </row>
    <row r="60" spans="1:6" ht="27" x14ac:dyDescent="0.25">
      <c r="A60" s="24"/>
      <c r="B60" s="23" t="s">
        <v>65</v>
      </c>
      <c r="C60" s="26" t="s">
        <v>15</v>
      </c>
      <c r="D60" s="21">
        <v>8</v>
      </c>
      <c r="E60" s="17">
        <f t="shared" si="4"/>
        <v>0</v>
      </c>
      <c r="F60" s="10">
        <f t="shared" si="5"/>
        <v>0</v>
      </c>
    </row>
    <row r="61" spans="1:6" x14ac:dyDescent="0.25">
      <c r="A61" s="24"/>
      <c r="B61" s="23" t="s">
        <v>66</v>
      </c>
      <c r="C61" s="26" t="s">
        <v>15</v>
      </c>
      <c r="D61" s="21">
        <v>1</v>
      </c>
      <c r="E61" s="17">
        <f t="shared" si="4"/>
        <v>0</v>
      </c>
      <c r="F61" s="10">
        <f t="shared" si="5"/>
        <v>0</v>
      </c>
    </row>
    <row r="62" spans="1:6" x14ac:dyDescent="0.25">
      <c r="A62" s="24"/>
      <c r="B62" s="23" t="s">
        <v>67</v>
      </c>
      <c r="C62" s="26" t="s">
        <v>15</v>
      </c>
      <c r="D62" s="21">
        <v>9</v>
      </c>
      <c r="E62" s="17">
        <f t="shared" si="4"/>
        <v>0</v>
      </c>
      <c r="F62" s="10">
        <f t="shared" si="5"/>
        <v>0</v>
      </c>
    </row>
    <row r="63" spans="1:6" ht="27" x14ac:dyDescent="0.25">
      <c r="A63" s="24"/>
      <c r="B63" s="23" t="s">
        <v>68</v>
      </c>
      <c r="C63" s="20" t="s">
        <v>15</v>
      </c>
      <c r="D63" s="21">
        <v>1</v>
      </c>
      <c r="E63" s="17">
        <f t="shared" si="4"/>
        <v>0</v>
      </c>
      <c r="F63" s="10">
        <f t="shared" si="5"/>
        <v>0</v>
      </c>
    </row>
    <row r="64" spans="1:6" ht="81" x14ac:dyDescent="0.25">
      <c r="A64" s="24"/>
      <c r="B64" s="8" t="s">
        <v>69</v>
      </c>
      <c r="C64" s="20" t="s">
        <v>5</v>
      </c>
      <c r="D64" s="21">
        <v>12</v>
      </c>
      <c r="E64" s="17">
        <f t="shared" si="4"/>
        <v>0</v>
      </c>
      <c r="F64" s="10">
        <f t="shared" si="5"/>
        <v>0</v>
      </c>
    </row>
    <row r="65" spans="1:6" ht="54" x14ac:dyDescent="0.25">
      <c r="A65" s="24"/>
      <c r="B65" s="25" t="s">
        <v>70</v>
      </c>
      <c r="C65" s="12" t="s">
        <v>5</v>
      </c>
      <c r="D65" s="21">
        <v>24</v>
      </c>
      <c r="E65" s="17">
        <f t="shared" si="4"/>
        <v>0</v>
      </c>
      <c r="F65" s="10">
        <f t="shared" si="5"/>
        <v>0</v>
      </c>
    </row>
    <row r="66" spans="1:6" ht="27" x14ac:dyDescent="0.25">
      <c r="A66" s="24"/>
      <c r="B66" s="25" t="s">
        <v>71</v>
      </c>
      <c r="C66" s="26" t="s">
        <v>5</v>
      </c>
      <c r="D66" s="21">
        <v>24</v>
      </c>
      <c r="E66" s="17">
        <f t="shared" si="4"/>
        <v>0</v>
      </c>
      <c r="F66" s="10">
        <f t="shared" si="5"/>
        <v>0</v>
      </c>
    </row>
    <row r="67" spans="1:6" ht="27" x14ac:dyDescent="0.25">
      <c r="A67" s="24"/>
      <c r="B67" s="23" t="s">
        <v>72</v>
      </c>
      <c r="C67" s="20" t="s">
        <v>49</v>
      </c>
      <c r="D67" s="21">
        <v>1</v>
      </c>
      <c r="E67" s="17">
        <f t="shared" si="4"/>
        <v>0</v>
      </c>
      <c r="F67" s="10">
        <f t="shared" si="5"/>
        <v>0</v>
      </c>
    </row>
    <row r="68" spans="1:6" ht="27" x14ac:dyDescent="0.25">
      <c r="A68" s="24"/>
      <c r="B68" s="23" t="s">
        <v>73</v>
      </c>
      <c r="C68" s="20" t="s">
        <v>49</v>
      </c>
      <c r="D68" s="21">
        <v>1</v>
      </c>
      <c r="E68" s="17">
        <f t="shared" si="4"/>
        <v>0</v>
      </c>
      <c r="F68" s="10">
        <f t="shared" si="5"/>
        <v>0</v>
      </c>
    </row>
    <row r="69" spans="1:6" ht="40.5" x14ac:dyDescent="0.25">
      <c r="A69" s="24"/>
      <c r="B69" s="23" t="s">
        <v>74</v>
      </c>
      <c r="C69" s="20" t="s">
        <v>49</v>
      </c>
      <c r="D69" s="21">
        <v>1</v>
      </c>
      <c r="E69" s="17">
        <f t="shared" si="4"/>
        <v>0</v>
      </c>
      <c r="F69" s="10">
        <f t="shared" si="5"/>
        <v>0</v>
      </c>
    </row>
    <row r="70" spans="1:6" x14ac:dyDescent="0.25">
      <c r="A70" s="1">
        <v>8</v>
      </c>
      <c r="B70" s="2" t="s">
        <v>75</v>
      </c>
      <c r="C70" s="3"/>
      <c r="D70" s="5"/>
      <c r="E70" s="27"/>
      <c r="F70" s="16"/>
    </row>
    <row r="71" spans="1:6" ht="27" x14ac:dyDescent="0.25">
      <c r="A71" s="7"/>
      <c r="B71" s="11" t="s">
        <v>76</v>
      </c>
      <c r="C71" s="3" t="s">
        <v>77</v>
      </c>
      <c r="D71" s="5">
        <v>4</v>
      </c>
      <c r="E71" s="17">
        <f>I71</f>
        <v>0</v>
      </c>
      <c r="F71" s="10">
        <f>D71*E71</f>
        <v>0</v>
      </c>
    </row>
    <row r="72" spans="1:6" ht="27" x14ac:dyDescent="0.25">
      <c r="A72" s="7"/>
      <c r="B72" s="11" t="s">
        <v>78</v>
      </c>
      <c r="C72" s="3" t="s">
        <v>49</v>
      </c>
      <c r="D72" s="5">
        <v>1</v>
      </c>
      <c r="E72" s="17">
        <f>I72</f>
        <v>0</v>
      </c>
      <c r="F72" s="10">
        <f>D72*E72</f>
        <v>0</v>
      </c>
    </row>
    <row r="73" spans="1:6" ht="54" x14ac:dyDescent="0.25">
      <c r="A73" s="7"/>
      <c r="B73" s="28" t="s">
        <v>79</v>
      </c>
      <c r="C73" s="12" t="s">
        <v>80</v>
      </c>
      <c r="D73" s="5">
        <v>3</v>
      </c>
      <c r="E73" s="17">
        <f>I73</f>
        <v>0</v>
      </c>
      <c r="F73" s="10">
        <f>D73*E73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2026-06-04T02:16:29Z</dcterms:created>
  <dcterms:modified xsi:type="dcterms:W3CDTF">2026-06-07T04:01:32Z</dcterms:modified>
</cp:coreProperties>
</file>