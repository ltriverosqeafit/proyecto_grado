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ownloads\Tesis\"/>
    </mc:Choice>
  </mc:AlternateContent>
  <xr:revisionPtr revIDLastSave="0" documentId="13_ncr:1_{79A1F2E4-CAE6-48E3-89E8-47D45D71A7DE}" xr6:coauthVersionLast="47" xr6:coauthVersionMax="47" xr10:uidLastSave="{00000000-0000-0000-0000-000000000000}"/>
  <bookViews>
    <workbookView xWindow="-120" yWindow="-120" windowWidth="29040" windowHeight="15720" xr2:uid="{B3927CAA-22E4-48E2-B932-ACAE61EE29F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31" i="1" l="1"/>
  <c r="D30" i="1"/>
  <c r="D27" i="1"/>
  <c r="D17" i="1"/>
  <c r="E85" i="1"/>
  <c r="E84" i="1"/>
  <c r="E83" i="1"/>
  <c r="E73" i="1"/>
  <c r="E66" i="1"/>
  <c r="E65" i="1"/>
  <c r="E64" i="1"/>
  <c r="E62" i="1"/>
  <c r="E59" i="1"/>
  <c r="E58" i="1"/>
  <c r="E57" i="1"/>
  <c r="E56" i="1"/>
  <c r="E52" i="1"/>
  <c r="E49" i="1"/>
  <c r="E46" i="1"/>
  <c r="E33" i="1"/>
  <c r="E31" i="1"/>
  <c r="E29" i="1"/>
  <c r="E28" i="1"/>
  <c r="E27" i="1"/>
  <c r="F86" i="1"/>
  <c r="F82" i="1"/>
  <c r="F80" i="1"/>
  <c r="F79" i="1"/>
  <c r="F78" i="1"/>
  <c r="F77" i="1"/>
  <c r="F76" i="1"/>
  <c r="F75" i="1"/>
  <c r="F74" i="1"/>
  <c r="F72" i="1"/>
  <c r="F71" i="1"/>
  <c r="F70" i="1"/>
  <c r="F69" i="1"/>
  <c r="F68" i="1"/>
  <c r="F61" i="1"/>
  <c r="F60" i="1"/>
  <c r="F55" i="1"/>
  <c r="F54" i="1"/>
  <c r="F53" i="1"/>
  <c r="F51" i="1"/>
  <c r="F50" i="1"/>
  <c r="F48" i="1"/>
  <c r="F47" i="1"/>
  <c r="F44" i="1"/>
  <c r="F43" i="1"/>
  <c r="F42" i="1"/>
  <c r="F40" i="1"/>
  <c r="F39" i="1"/>
  <c r="F37" i="1"/>
  <c r="F36" i="1"/>
  <c r="F35" i="1"/>
  <c r="F34" i="1"/>
  <c r="F32" i="1"/>
  <c r="F26" i="1"/>
  <c r="F24" i="1"/>
  <c r="F23" i="1"/>
  <c r="F22" i="1"/>
  <c r="F21" i="1"/>
  <c r="F20" i="1"/>
  <c r="F19" i="1"/>
  <c r="F18" i="1"/>
  <c r="F16" i="1"/>
  <c r="F15" i="1"/>
  <c r="F14" i="1"/>
  <c r="F13" i="1"/>
  <c r="F12" i="1"/>
  <c r="F11" i="1"/>
  <c r="F10" i="1"/>
  <c r="F9" i="1"/>
  <c r="F8" i="1"/>
  <c r="F7" i="1"/>
  <c r="F6" i="1"/>
  <c r="F4" i="1"/>
  <c r="F3" i="1"/>
  <c r="F85" i="1" l="1"/>
  <c r="F84" i="1"/>
  <c r="F83" i="1"/>
  <c r="F73" i="1"/>
  <c r="F66" i="1"/>
  <c r="F65" i="1"/>
  <c r="F64" i="1"/>
  <c r="F62" i="1"/>
  <c r="F59" i="1"/>
  <c r="F58" i="1"/>
  <c r="F57" i="1"/>
  <c r="F56" i="1"/>
  <c r="F52" i="1"/>
  <c r="F46" i="1"/>
  <c r="F33" i="1"/>
  <c r="F31" i="1"/>
  <c r="F30" i="1"/>
  <c r="F29" i="1"/>
  <c r="F27" i="1"/>
  <c r="F17" i="1"/>
  <c r="F49" i="1"/>
  <c r="F28" i="1"/>
  <c r="F87" i="1" l="1"/>
  <c r="F90" i="1" l="1"/>
  <c r="F91" i="1" s="1"/>
  <c r="F89" i="1"/>
  <c r="F88" i="1"/>
  <c r="F92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1" authorId="0" shapeId="0" xr:uid="{6686104D-FC2E-4373-A1E9-46086C360F3B}">
      <text>
        <r>
          <rPr>
            <sz val="11"/>
            <color theme="1"/>
            <rFont val="Aptos Narrow"/>
            <family val="2"/>
            <scheme val="minor"/>
          </rPr>
          <t>======
ID#AAAA6spMLhw
Erik Durfay Ricaurte Castillo    (2023-09-25 20:41:48)
Unidad de medida del item a contratar</t>
        </r>
      </text>
    </comment>
  </commentList>
</comments>
</file>

<file path=xl/sharedStrings.xml><?xml version="1.0" encoding="utf-8"?>
<sst xmlns="http://schemas.openxmlformats.org/spreadsheetml/2006/main" count="234" uniqueCount="158">
  <si>
    <t>Un</t>
  </si>
  <si>
    <t>Suministro e instalación de estructura metálica para piso sobre puesto en tubería coll rolled,  h= 15cm</t>
  </si>
  <si>
    <t>m2</t>
  </si>
  <si>
    <t>Suministro e instalación placa superboard</t>
  </si>
  <si>
    <t>Transporte</t>
  </si>
  <si>
    <t>Suministro e instalación media caña en resina</t>
  </si>
  <si>
    <t>m</t>
  </si>
  <si>
    <t>Suministro e Instalación pintura vinílica  tipo 1</t>
  </si>
  <si>
    <t>Suministro e Instalación cárcamo en acero inoxidable 15cm</t>
  </si>
  <si>
    <t>Suministro e Instalación Salida Eléctrica Normal  4 Estufa, 2 Equip Mesón, 2 Cuartos Frios, 1 lavavajillas, 1 lavadora, 1 calentador, 4 campanas, 4 mesón equipos, 3, mesón de alacena</t>
  </si>
  <si>
    <t xml:space="preserve">Salida Eléctrica Bifásica Horno </t>
  </si>
  <si>
    <t>Suministro e Instalación Puerta en vidrio templado , incluye película</t>
  </si>
  <si>
    <t>Suministro e instalación Salida Sanitaria 2"  1 Lava vajilla, 1 Lavadora, 2 Trampa Grasas, 1 Poceta traperos</t>
  </si>
  <si>
    <t>Suministro e Instalación tubería Sanitaria 2"</t>
  </si>
  <si>
    <t>Suministro e instalación Salida Sanitaria 1 1/2"  2 Sifón, 3 Lavamanos Pedal, 2 Lavamanos Mesón, 1 Nevecon</t>
  </si>
  <si>
    <t>Suministro e Instalación tubería Sanitaria 1 1/2"</t>
  </si>
  <si>
    <t>Traslado Punto 0 hidráulico 3/4"</t>
  </si>
  <si>
    <t>Suministro e Instalación salida suministro Agua potable  2 Lavamanos Meson, 3 Lavamanos Pedal, 2 Lavaplatos, 1 Poceta Trapero, y 1 lavavajillas, 1 lavadora</t>
  </si>
  <si>
    <t>Suministro e Instalación Salida suministro Agua Caliente 1 lavadora, 1 lavavajillas, 2 lavaplatos</t>
  </si>
  <si>
    <t>Suministro e Instalación Salida suministro Agua Filtrada   1 Nevecon, 2 Lavaplatos, 2 lavamanos meson</t>
  </si>
  <si>
    <t>Instalación Calentador de Agua Eléctrico (No Incluye Suministro)</t>
  </si>
  <si>
    <t>Instalación Filtro de Agua</t>
  </si>
  <si>
    <t>Suministro e Instalación Punto de Gas 3/4" 4 estufas</t>
  </si>
  <si>
    <t>Suministro e Instalación Vállvula corte  Gas</t>
  </si>
  <si>
    <t>Suministro e Instalación Vállvula paso Gas</t>
  </si>
  <si>
    <t xml:space="preserve">1. </t>
  </si>
  <si>
    <t>Muros</t>
  </si>
  <si>
    <t>1.1</t>
  </si>
  <si>
    <t>Muro SuperBoard</t>
  </si>
  <si>
    <t>1.2</t>
  </si>
  <si>
    <t>Lineal Superboard</t>
  </si>
  <si>
    <t>1.3</t>
  </si>
  <si>
    <t>Dintel drywall Ducto Aire</t>
  </si>
  <si>
    <t>gl</t>
  </si>
  <si>
    <t>1.4</t>
  </si>
  <si>
    <t>Dintel drywall Malacate</t>
  </si>
  <si>
    <t>1.5</t>
  </si>
  <si>
    <t>Enchape brick 10x30</t>
  </si>
  <si>
    <t>1.6</t>
  </si>
  <si>
    <t>Dilatación Dorada</t>
  </si>
  <si>
    <t>1.7</t>
  </si>
  <si>
    <t>Estuco</t>
  </si>
  <si>
    <t>1.8</t>
  </si>
  <si>
    <t>Pintura vinílica  Ulltralavable</t>
  </si>
  <si>
    <t>1.9</t>
  </si>
  <si>
    <t>Tapas de Inspección 15cm plástias para salidas Gas y Punto 0 Agua potable</t>
  </si>
  <si>
    <t>1.10</t>
  </si>
  <si>
    <t>Caja Lavadora y Lavavajilla</t>
  </si>
  <si>
    <t>1.11</t>
  </si>
  <si>
    <t xml:space="preserve">Boton de fumigación </t>
  </si>
  <si>
    <t>1.12</t>
  </si>
  <si>
    <t>Hermetización general con sikaflex o procutos similares</t>
  </si>
  <si>
    <t>2.</t>
  </si>
  <si>
    <t>Piso</t>
  </si>
  <si>
    <t>2.1</t>
  </si>
  <si>
    <t>Porcelanato Ref. CERANATTO JASPE Cerámica Italia</t>
  </si>
  <si>
    <t>2.2</t>
  </si>
  <si>
    <t>Tapete atrapamugre</t>
  </si>
  <si>
    <t xml:space="preserve">3. </t>
  </si>
  <si>
    <t>Mesones</t>
  </si>
  <si>
    <t>3.1</t>
  </si>
  <si>
    <t>Meson Torano Oro DM1, 594x76cm, salpicadero 15cm</t>
  </si>
  <si>
    <t>3.2</t>
  </si>
  <si>
    <t>Meson Torano Oro DM2</t>
  </si>
  <si>
    <t>Meson Torano Oro DM3  300x52cm</t>
  </si>
  <si>
    <t>4.</t>
  </si>
  <si>
    <t xml:space="preserve">Muebles </t>
  </si>
  <si>
    <t>4.1</t>
  </si>
  <si>
    <t>Mueble DM1 - Melamina Duratex  RH  Rev. Verde Olivo o símilar</t>
  </si>
  <si>
    <t>4.2</t>
  </si>
  <si>
    <t>Lavamanos Cascade Vessel Boreal</t>
  </si>
  <si>
    <t>4.3</t>
  </si>
  <si>
    <t>Grifería con Sensor</t>
  </si>
  <si>
    <t>4.4</t>
  </si>
  <si>
    <t>Poceta Socoda Doble DM-1</t>
  </si>
  <si>
    <t>4.5</t>
  </si>
  <si>
    <t>Grifería Lavaplatos Dorada (Incluido Kit de Conección)</t>
  </si>
  <si>
    <t>4.6</t>
  </si>
  <si>
    <t>Grifería Agua Filtrada (incluid Kit de Conección)</t>
  </si>
  <si>
    <t>4.7</t>
  </si>
  <si>
    <t>Mueble DM2 - Melamina Duratex  RH  Rev. Verde Olivo o símilar</t>
  </si>
  <si>
    <t>4.8</t>
  </si>
  <si>
    <t>4.9</t>
  </si>
  <si>
    <t>Lavaplatos Redondo Tramontina Prime en Acero Inoxidable  - Submontar</t>
  </si>
  <si>
    <t>4.10</t>
  </si>
  <si>
    <t>Mueble DM3 -  Recubrimiento Mueble metálico (Escritorio y Mueble Filtro,  incluye recubrimiento soporte TV)</t>
  </si>
  <si>
    <t>4.11</t>
  </si>
  <si>
    <t>Mueble DM3 -  Mueble Frontal, incluye puertas vidrio</t>
  </si>
  <si>
    <t>4.12</t>
  </si>
  <si>
    <t>Mueble DM4 -  Melamina Duratex  RH  Rev. Verde Olivo o símilar,  incluye puertas en vidrio</t>
  </si>
  <si>
    <t>4.13</t>
  </si>
  <si>
    <t>Mueble DM5 -  Para Mesón Acero Inoxidable</t>
  </si>
  <si>
    <t>4.14</t>
  </si>
  <si>
    <t>Grifería Lavaplatos Santinada (Incluido Kit de Conección)</t>
  </si>
  <si>
    <t>4.15</t>
  </si>
  <si>
    <t>4.16</t>
  </si>
  <si>
    <t>Mueble DM6 -  MDF recubierto en Fórimca</t>
  </si>
  <si>
    <t>5.</t>
  </si>
  <si>
    <t>Acero Inoxidable</t>
  </si>
  <si>
    <t>5.1</t>
  </si>
  <si>
    <t>Mesón Acero Inoxidable DM5, incluye poceta 1,65cm</t>
  </si>
  <si>
    <t>5.2</t>
  </si>
  <si>
    <t>Trampa de Grasa</t>
  </si>
  <si>
    <t>5.3</t>
  </si>
  <si>
    <t>Poceta Lavatraperos</t>
  </si>
  <si>
    <t>6.</t>
  </si>
  <si>
    <t>Electrica</t>
  </si>
  <si>
    <t>6.1</t>
  </si>
  <si>
    <t>Salida Iluminación</t>
  </si>
  <si>
    <t>6.2</t>
  </si>
  <si>
    <t>Salida Interruptor triple tipo Leviton</t>
  </si>
  <si>
    <t>6.3</t>
  </si>
  <si>
    <t>Suministro Luminaria aplique Pared</t>
  </si>
  <si>
    <t>6.4</t>
  </si>
  <si>
    <t>Suministro aplique spot scualizable para zona lavado</t>
  </si>
  <si>
    <t>6.5</t>
  </si>
  <si>
    <t xml:space="preserve">Suministro e Instalación Cilindro </t>
  </si>
  <si>
    <t>6.6</t>
  </si>
  <si>
    <t>Luminiaria Lineal 3,35 zona Aula Culinaria</t>
  </si>
  <si>
    <t>6.7</t>
  </si>
  <si>
    <t>Luminaria Lineal 1.15m  zona de recibo de productos</t>
  </si>
  <si>
    <t>6.8</t>
  </si>
  <si>
    <t>Salida Interruptor sencillo zona recibo de productos</t>
  </si>
  <si>
    <t>6.9</t>
  </si>
  <si>
    <t>Cinta Led</t>
  </si>
  <si>
    <t>6.10</t>
  </si>
  <si>
    <t>Salida Conexión Calentador Trifásico</t>
  </si>
  <si>
    <t>6.11</t>
  </si>
  <si>
    <t>Suministro e instalación tablero eléctrico 24ctos</t>
  </si>
  <si>
    <t>6.12</t>
  </si>
  <si>
    <t>Salida Eléctrica para Lamparas insectos</t>
  </si>
  <si>
    <t>6.13</t>
  </si>
  <si>
    <t>Salidas Emergencia (incluye letrero salida de Emergencia)</t>
  </si>
  <si>
    <t>7.</t>
  </si>
  <si>
    <t>Ornamentación</t>
  </si>
  <si>
    <t>7.1</t>
  </si>
  <si>
    <t>Suministro e instalación estrucutra para soporte de Televisión</t>
  </si>
  <si>
    <t>7.2</t>
  </si>
  <si>
    <t>Puerta Corredera metálica</t>
  </si>
  <si>
    <t>7.3</t>
  </si>
  <si>
    <t>Mueble Metálico con chapas de seguridad</t>
  </si>
  <si>
    <t>7.4</t>
  </si>
  <si>
    <t>Rejilla Aire Acondicionado</t>
  </si>
  <si>
    <t>7.5</t>
  </si>
  <si>
    <t>Hermetización ductos Extracicón</t>
  </si>
  <si>
    <t>Costo Directo</t>
  </si>
  <si>
    <t>Administración</t>
  </si>
  <si>
    <t>Imprevistos</t>
  </si>
  <si>
    <t>utilidad</t>
  </si>
  <si>
    <t>Iva sobre Utilidad</t>
  </si>
  <si>
    <t>Total</t>
  </si>
  <si>
    <t>Preliminares</t>
  </si>
  <si>
    <t>item</t>
  </si>
  <si>
    <t>descripcion</t>
  </si>
  <si>
    <t>un</t>
  </si>
  <si>
    <t>cant</t>
  </si>
  <si>
    <t>valor_unitario</t>
  </si>
  <si>
    <t>valor_parcial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</si>
</sst>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$&quot;\ * #,##0.00_-;\-&quot;$&quot;\ * #,##0.00_-;_-&quot;$&quot;\ * &quot;-&quot;??_-;_-@_-"/>
    <numFmt numFmtId="164" formatCode="_-&quot;$&quot;* #,##0_-;\-&quot;$&quot;* #,##0_-;_-&quot;$&quot;* &quot;-&quot;_-;_-@"/>
    <numFmt numFmtId="165" formatCode="d&quot; de &quot;mmm&quot; de &quot;yy"/>
    <numFmt numFmtId="167" formatCode="_(* #,##0_);_(* \(#,##0\);_(* \-_);_(@_)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9"/>
      <color theme="0"/>
      <name val="Century Gothic"/>
      <family val="2"/>
    </font>
    <font>
      <sz val="9"/>
      <color theme="1"/>
      <name val="Century Gothic"/>
      <family val="2"/>
    </font>
    <font>
      <b/>
      <sz val="9"/>
      <color theme="1"/>
      <name val="Century Gothic"/>
      <family val="2"/>
    </font>
    <font>
      <sz val="9"/>
      <color theme="0"/>
      <name val="Century Gothic"/>
      <family val="2"/>
    </font>
    <font>
      <sz val="8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C4A1A"/>
        <bgColor indexed="64"/>
      </patternFill>
    </fill>
    <fill>
      <patternFill patternType="solid">
        <fgColor rgb="FFD8D8D8"/>
        <bgColor rgb="FFD8D8D8"/>
      </patternFill>
    </fill>
  </fills>
  <borders count="4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9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0" fontId="3" fillId="0" borderId="1" xfId="1" applyNumberFormat="1" applyFont="1" applyBorder="1" applyAlignment="1">
      <alignment wrapText="1"/>
    </xf>
    <xf numFmtId="0" fontId="3" fillId="0" borderId="1" xfId="0" applyFont="1" applyBorder="1" applyAlignment="1">
      <alignment horizontal="center" vertical="center"/>
    </xf>
    <xf numFmtId="44" fontId="3" fillId="0" borderId="1" xfId="1" applyFont="1" applyBorder="1" applyAlignment="1">
      <alignment horizontal="right" vertical="center"/>
    </xf>
    <xf numFmtId="2" fontId="3" fillId="0" borderId="0" xfId="1" applyNumberFormat="1" applyFont="1" applyBorder="1" applyAlignment="1">
      <alignment horizontal="center" vertical="center"/>
    </xf>
    <xf numFmtId="44" fontId="3" fillId="0" borderId="0" xfId="1" applyFont="1" applyBorder="1" applyAlignment="1">
      <alignment horizontal="center" vertical="center"/>
    </xf>
    <xf numFmtId="0" fontId="4" fillId="0" borderId="1" xfId="0" applyFont="1" applyBorder="1" applyAlignment="1">
      <alignment horizontal="left"/>
    </xf>
    <xf numFmtId="0" fontId="4" fillId="0" borderId="1" xfId="1" applyNumberFormat="1" applyFont="1" applyBorder="1" applyAlignment="1">
      <alignment wrapText="1"/>
    </xf>
    <xf numFmtId="0" fontId="4" fillId="0" borderId="1" xfId="0" applyFont="1" applyBorder="1" applyAlignment="1">
      <alignment horizontal="center" vertical="center"/>
    </xf>
    <xf numFmtId="44" fontId="4" fillId="0" borderId="1" xfId="1" applyFont="1" applyBorder="1" applyAlignment="1">
      <alignment horizontal="right" vertical="center"/>
    </xf>
    <xf numFmtId="0" fontId="4" fillId="0" borderId="1" xfId="1" applyNumberFormat="1" applyFont="1" applyBorder="1" applyAlignment="1">
      <alignment horizontal="center" vertical="center"/>
    </xf>
    <xf numFmtId="44" fontId="4" fillId="0" borderId="1" xfId="1" applyFont="1" applyBorder="1" applyAlignment="1">
      <alignment horizontal="center" vertical="center"/>
    </xf>
    <xf numFmtId="0" fontId="3" fillId="0" borderId="1" xfId="0" applyFont="1" applyBorder="1" applyAlignment="1">
      <alignment horizontal="left"/>
    </xf>
    <xf numFmtId="0" fontId="3" fillId="0" borderId="1" xfId="1" applyNumberFormat="1" applyFont="1" applyBorder="1" applyAlignment="1">
      <alignment horizontal="center" vertical="center"/>
    </xf>
    <xf numFmtId="44" fontId="3" fillId="0" borderId="1" xfId="1" applyFont="1" applyBorder="1" applyAlignment="1">
      <alignment horizontal="center" vertical="center"/>
    </xf>
    <xf numFmtId="164" fontId="2" fillId="2" borderId="1" xfId="0" applyNumberFormat="1" applyFont="1" applyFill="1" applyBorder="1" applyAlignment="1">
      <alignment vertical="center" wrapText="1"/>
    </xf>
    <xf numFmtId="9" fontId="3" fillId="0" borderId="1" xfId="2" applyFont="1" applyBorder="1" applyAlignment="1">
      <alignment horizontal="center" vertical="center" wrapText="1"/>
    </xf>
    <xf numFmtId="164" fontId="3" fillId="0" borderId="1" xfId="0" applyNumberFormat="1" applyFont="1" applyBorder="1" applyAlignment="1">
      <alignment vertical="center" wrapText="1"/>
    </xf>
    <xf numFmtId="0" fontId="2" fillId="2" borderId="0" xfId="0" applyFont="1" applyFill="1" applyAlignment="1">
      <alignment horizontal="center" vertical="center" wrapText="1"/>
    </xf>
    <xf numFmtId="0" fontId="5" fillId="2" borderId="1" xfId="0" applyFont="1" applyFill="1" applyBorder="1" applyAlignment="1">
      <alignment horizontal="left" vertical="center" wrapText="1"/>
    </xf>
    <xf numFmtId="49" fontId="6" fillId="3" borderId="2" xfId="0" applyNumberFormat="1" applyFont="1" applyFill="1" applyBorder="1" applyAlignment="1">
      <alignment vertical="center"/>
    </xf>
    <xf numFmtId="165" fontId="6" fillId="3" borderId="3" xfId="0" applyNumberFormat="1" applyFont="1" applyFill="1" applyBorder="1" applyAlignment="1">
      <alignment vertical="center" wrapText="1"/>
    </xf>
    <xf numFmtId="49" fontId="6" fillId="3" borderId="3" xfId="0" applyNumberFormat="1" applyFont="1" applyFill="1" applyBorder="1" applyAlignment="1">
      <alignment horizontal="center" vertical="center"/>
    </xf>
    <xf numFmtId="167" fontId="6" fillId="3" borderId="3" xfId="0" applyNumberFormat="1" applyFont="1" applyFill="1" applyBorder="1" applyAlignment="1">
      <alignment horizontal="center" vertical="center"/>
    </xf>
    <xf numFmtId="3" fontId="6" fillId="3" borderId="3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right" wrapText="1"/>
    </xf>
    <xf numFmtId="0" fontId="3" fillId="0" borderId="1" xfId="0" applyFont="1" applyBorder="1" applyAlignment="1">
      <alignment horizontal="right" wrapText="1"/>
    </xf>
  </cellXfs>
  <cellStyles count="3">
    <cellStyle name="Moneda" xfId="1" builtinId="4"/>
    <cellStyle name="Normal" xfId="0" builtinId="0"/>
    <cellStyle name="Porcentaj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A2F8B4-FDFD-47C2-BF78-1B4B0D4503F1}">
  <dimension ref="A1:F92"/>
  <sheetViews>
    <sheetView tabSelected="1" workbookViewId="0">
      <selection activeCell="I1" sqref="I1:I1048576"/>
    </sheetView>
  </sheetViews>
  <sheetFormatPr baseColWidth="10" defaultRowHeight="15" x14ac:dyDescent="0.25"/>
  <cols>
    <col min="2" max="2" width="56.5703125" customWidth="1"/>
    <col min="4" max="4" width="6" bestFit="1" customWidth="1"/>
    <col min="5" max="6" width="14.85546875" bestFit="1" customWidth="1"/>
  </cols>
  <sheetData>
    <row r="1" spans="1:6" x14ac:dyDescent="0.25">
      <c r="A1" s="22" t="s">
        <v>152</v>
      </c>
      <c r="B1" s="23" t="s">
        <v>153</v>
      </c>
      <c r="C1" s="24" t="s">
        <v>154</v>
      </c>
      <c r="D1" s="25" t="s">
        <v>155</v>
      </c>
      <c r="E1" s="25" t="s">
        <v>156</v>
      </c>
      <c r="F1" s="26" t="s">
        <v>157</v>
      </c>
    </row>
    <row r="2" spans="1:6" x14ac:dyDescent="0.25">
      <c r="A2" s="1">
        <v>1</v>
      </c>
      <c r="B2" s="21" t="s">
        <v>151</v>
      </c>
      <c r="C2" s="1"/>
      <c r="D2" s="20"/>
      <c r="E2" s="1"/>
      <c r="F2" s="20"/>
    </row>
    <row r="3" spans="1:6" ht="28.5" x14ac:dyDescent="0.3">
      <c r="A3" s="2">
        <v>1</v>
      </c>
      <c r="B3" s="3" t="s">
        <v>1</v>
      </c>
      <c r="C3" s="4" t="s">
        <v>2</v>
      </c>
      <c r="D3" s="6">
        <v>66</v>
      </c>
      <c r="E3" s="5">
        <v>225000</v>
      </c>
      <c r="F3" s="7">
        <f>E3*D3</f>
        <v>14850000</v>
      </c>
    </row>
    <row r="4" spans="1:6" ht="15.75" x14ac:dyDescent="0.3">
      <c r="A4" s="2">
        <v>1</v>
      </c>
      <c r="B4" s="3" t="s">
        <v>3</v>
      </c>
      <c r="C4" s="4" t="s">
        <v>2</v>
      </c>
      <c r="D4" s="6">
        <v>66</v>
      </c>
      <c r="E4" s="5">
        <v>85000</v>
      </c>
      <c r="F4" s="7">
        <f>E4*D4</f>
        <v>5610000</v>
      </c>
    </row>
    <row r="5" spans="1:6" ht="15.75" x14ac:dyDescent="0.3">
      <c r="A5" s="2"/>
      <c r="B5" s="3" t="s">
        <v>4</v>
      </c>
      <c r="C5" s="4"/>
      <c r="D5" s="6">
        <v>66</v>
      </c>
      <c r="E5" s="5"/>
      <c r="F5" s="7"/>
    </row>
    <row r="6" spans="1:6" ht="15.75" x14ac:dyDescent="0.3">
      <c r="A6" s="2">
        <v>1</v>
      </c>
      <c r="B6" s="3" t="s">
        <v>5</v>
      </c>
      <c r="C6" s="4" t="s">
        <v>6</v>
      </c>
      <c r="D6" s="6">
        <v>35</v>
      </c>
      <c r="E6" s="5">
        <v>46000</v>
      </c>
      <c r="F6" s="7">
        <f t="shared" ref="F6:F24" si="0">E6*D6</f>
        <v>1610000</v>
      </c>
    </row>
    <row r="7" spans="1:6" ht="15.75" x14ac:dyDescent="0.3">
      <c r="A7" s="2">
        <v>1</v>
      </c>
      <c r="B7" s="3" t="s">
        <v>7</v>
      </c>
      <c r="C7" s="4" t="s">
        <v>2</v>
      </c>
      <c r="D7" s="6">
        <v>30</v>
      </c>
      <c r="E7" s="5">
        <v>17200</v>
      </c>
      <c r="F7" s="7">
        <f t="shared" si="0"/>
        <v>516000</v>
      </c>
    </row>
    <row r="8" spans="1:6" ht="15.75" x14ac:dyDescent="0.3">
      <c r="A8" s="2">
        <v>1</v>
      </c>
      <c r="B8" s="3" t="s">
        <v>8</v>
      </c>
      <c r="C8" s="4" t="s">
        <v>0</v>
      </c>
      <c r="D8" s="6">
        <v>2</v>
      </c>
      <c r="E8" s="5">
        <v>345000</v>
      </c>
      <c r="F8" s="7">
        <f t="shared" si="0"/>
        <v>690000</v>
      </c>
    </row>
    <row r="9" spans="1:6" ht="42.75" x14ac:dyDescent="0.3">
      <c r="A9" s="2">
        <v>1</v>
      </c>
      <c r="B9" s="3" t="s">
        <v>9</v>
      </c>
      <c r="C9" s="4" t="s">
        <v>0</v>
      </c>
      <c r="D9" s="6">
        <v>35</v>
      </c>
      <c r="E9" s="5">
        <v>135800</v>
      </c>
      <c r="F9" s="7">
        <f t="shared" si="0"/>
        <v>4753000</v>
      </c>
    </row>
    <row r="10" spans="1:6" ht="15.75" x14ac:dyDescent="0.3">
      <c r="A10" s="2">
        <v>1</v>
      </c>
      <c r="B10" s="3" t="s">
        <v>10</v>
      </c>
      <c r="C10" s="4" t="s">
        <v>0</v>
      </c>
      <c r="D10" s="6">
        <v>4</v>
      </c>
      <c r="E10" s="5">
        <v>235400</v>
      </c>
      <c r="F10" s="7">
        <f t="shared" si="0"/>
        <v>941600</v>
      </c>
    </row>
    <row r="11" spans="1:6" ht="28.5" x14ac:dyDescent="0.3">
      <c r="A11" s="2">
        <v>1</v>
      </c>
      <c r="B11" s="3" t="s">
        <v>11</v>
      </c>
      <c r="C11" s="4" t="s">
        <v>0</v>
      </c>
      <c r="D11" s="6">
        <v>1</v>
      </c>
      <c r="E11" s="5">
        <v>2825000</v>
      </c>
      <c r="F11" s="7">
        <f t="shared" si="0"/>
        <v>2825000</v>
      </c>
    </row>
    <row r="12" spans="1:6" ht="28.5" x14ac:dyDescent="0.3">
      <c r="A12" s="2">
        <v>1</v>
      </c>
      <c r="B12" s="3" t="s">
        <v>12</v>
      </c>
      <c r="C12" s="4" t="s">
        <v>0</v>
      </c>
      <c r="D12" s="6">
        <v>5</v>
      </c>
      <c r="E12" s="5">
        <v>245600</v>
      </c>
      <c r="F12" s="7">
        <f t="shared" si="0"/>
        <v>1228000</v>
      </c>
    </row>
    <row r="13" spans="1:6" ht="15.75" x14ac:dyDescent="0.3">
      <c r="A13" s="2">
        <v>1</v>
      </c>
      <c r="B13" s="3" t="s">
        <v>13</v>
      </c>
      <c r="C13" s="4" t="s">
        <v>6</v>
      </c>
      <c r="D13" s="6">
        <v>8</v>
      </c>
      <c r="E13" s="5">
        <v>22400</v>
      </c>
      <c r="F13" s="7">
        <f t="shared" si="0"/>
        <v>179200</v>
      </c>
    </row>
    <row r="14" spans="1:6" ht="28.5" x14ac:dyDescent="0.3">
      <c r="A14" s="2">
        <v>1</v>
      </c>
      <c r="B14" s="3" t="s">
        <v>14</v>
      </c>
      <c r="C14" s="4" t="s">
        <v>0</v>
      </c>
      <c r="D14" s="6">
        <v>6</v>
      </c>
      <c r="E14" s="5">
        <v>221800</v>
      </c>
      <c r="F14" s="7">
        <f t="shared" si="0"/>
        <v>1330800</v>
      </c>
    </row>
    <row r="15" spans="1:6" ht="15.75" x14ac:dyDescent="0.3">
      <c r="A15" s="2">
        <v>1</v>
      </c>
      <c r="B15" s="3" t="s">
        <v>15</v>
      </c>
      <c r="C15" s="4" t="s">
        <v>6</v>
      </c>
      <c r="D15" s="6">
        <v>12</v>
      </c>
      <c r="E15" s="5">
        <v>22400</v>
      </c>
      <c r="F15" s="7">
        <f t="shared" si="0"/>
        <v>268800</v>
      </c>
    </row>
    <row r="16" spans="1:6" ht="15.75" x14ac:dyDescent="0.3">
      <c r="A16" s="2">
        <v>1</v>
      </c>
      <c r="B16" s="3" t="s">
        <v>16</v>
      </c>
      <c r="C16" s="4" t="s">
        <v>0</v>
      </c>
      <c r="D16" s="6">
        <v>1</v>
      </c>
      <c r="E16" s="5">
        <v>285900</v>
      </c>
      <c r="F16" s="7">
        <f t="shared" si="0"/>
        <v>285900</v>
      </c>
    </row>
    <row r="17" spans="1:6" ht="42.75" x14ac:dyDescent="0.3">
      <c r="A17" s="2">
        <v>1</v>
      </c>
      <c r="B17" s="3" t="s">
        <v>17</v>
      </c>
      <c r="C17" s="4" t="s">
        <v>0</v>
      </c>
      <c r="D17" s="6">
        <f>2+2+2+1+1+1+2+1</f>
        <v>12</v>
      </c>
      <c r="E17" s="5">
        <v>195800</v>
      </c>
      <c r="F17" s="7">
        <f t="shared" si="0"/>
        <v>2349600</v>
      </c>
    </row>
    <row r="18" spans="1:6" ht="28.5" x14ac:dyDescent="0.3">
      <c r="A18" s="2">
        <v>1</v>
      </c>
      <c r="B18" s="3" t="s">
        <v>18</v>
      </c>
      <c r="C18" s="4" t="s">
        <v>0</v>
      </c>
      <c r="D18" s="6">
        <v>4</v>
      </c>
      <c r="E18" s="5">
        <v>195800</v>
      </c>
      <c r="F18" s="7">
        <f t="shared" si="0"/>
        <v>783200</v>
      </c>
    </row>
    <row r="19" spans="1:6" ht="28.5" x14ac:dyDescent="0.3">
      <c r="A19" s="2">
        <v>1</v>
      </c>
      <c r="B19" s="3" t="s">
        <v>19</v>
      </c>
      <c r="C19" s="4" t="s">
        <v>0</v>
      </c>
      <c r="D19" s="6">
        <v>5</v>
      </c>
      <c r="E19" s="5">
        <v>195800</v>
      </c>
      <c r="F19" s="7">
        <f t="shared" si="0"/>
        <v>979000</v>
      </c>
    </row>
    <row r="20" spans="1:6" ht="28.5" x14ac:dyDescent="0.3">
      <c r="A20" s="2">
        <v>1</v>
      </c>
      <c r="B20" s="3" t="s">
        <v>20</v>
      </c>
      <c r="C20" s="4" t="s">
        <v>0</v>
      </c>
      <c r="D20" s="6">
        <v>1</v>
      </c>
      <c r="E20" s="5">
        <v>450000</v>
      </c>
      <c r="F20" s="7">
        <f t="shared" si="0"/>
        <v>450000</v>
      </c>
    </row>
    <row r="21" spans="1:6" ht="15.75" x14ac:dyDescent="0.3">
      <c r="A21" s="2">
        <v>1</v>
      </c>
      <c r="B21" s="3" t="s">
        <v>21</v>
      </c>
      <c r="C21" s="4" t="s">
        <v>0</v>
      </c>
      <c r="D21" s="6">
        <v>1</v>
      </c>
      <c r="E21" s="5">
        <v>750000</v>
      </c>
      <c r="F21" s="7">
        <f t="shared" si="0"/>
        <v>750000</v>
      </c>
    </row>
    <row r="22" spans="1:6" ht="15.75" x14ac:dyDescent="0.3">
      <c r="A22" s="2">
        <v>1</v>
      </c>
      <c r="B22" s="3" t="s">
        <v>22</v>
      </c>
      <c r="C22" s="4" t="s">
        <v>0</v>
      </c>
      <c r="D22" s="6">
        <v>4</v>
      </c>
      <c r="E22" s="5">
        <v>375000</v>
      </c>
      <c r="F22" s="7">
        <f t="shared" si="0"/>
        <v>1500000</v>
      </c>
    </row>
    <row r="23" spans="1:6" ht="15.75" x14ac:dyDescent="0.3">
      <c r="A23" s="2">
        <v>1</v>
      </c>
      <c r="B23" s="3" t="s">
        <v>23</v>
      </c>
      <c r="C23" s="4" t="s">
        <v>0</v>
      </c>
      <c r="D23" s="6">
        <v>2</v>
      </c>
      <c r="E23" s="5">
        <v>145800</v>
      </c>
      <c r="F23" s="7">
        <f t="shared" si="0"/>
        <v>291600</v>
      </c>
    </row>
    <row r="24" spans="1:6" ht="15.75" x14ac:dyDescent="0.3">
      <c r="A24" s="2">
        <v>1</v>
      </c>
      <c r="B24" s="3" t="s">
        <v>24</v>
      </c>
      <c r="C24" s="4" t="s">
        <v>0</v>
      </c>
      <c r="D24" s="6">
        <v>2</v>
      </c>
      <c r="E24" s="5">
        <v>95400</v>
      </c>
      <c r="F24" s="7">
        <f t="shared" si="0"/>
        <v>190800</v>
      </c>
    </row>
    <row r="25" spans="1:6" x14ac:dyDescent="0.25">
      <c r="A25" s="8" t="s">
        <v>25</v>
      </c>
      <c r="B25" s="9" t="s">
        <v>26</v>
      </c>
      <c r="C25" s="10"/>
      <c r="D25" s="12"/>
      <c r="E25" s="11"/>
      <c r="F25" s="13"/>
    </row>
    <row r="26" spans="1:6" ht="15.75" x14ac:dyDescent="0.3">
      <c r="A26" s="14" t="s">
        <v>27</v>
      </c>
      <c r="B26" s="3" t="s">
        <v>28</v>
      </c>
      <c r="C26" s="4" t="s">
        <v>2</v>
      </c>
      <c r="D26" s="15">
        <v>15</v>
      </c>
      <c r="E26" s="5">
        <v>165000</v>
      </c>
      <c r="F26" s="16">
        <f t="shared" ref="F26:F37" si="1">D26*E26</f>
        <v>2475000</v>
      </c>
    </row>
    <row r="27" spans="1:6" ht="15.75" x14ac:dyDescent="0.3">
      <c r="A27" s="14" t="s">
        <v>29</v>
      </c>
      <c r="B27" s="3" t="s">
        <v>30</v>
      </c>
      <c r="C27" s="4" t="s">
        <v>6</v>
      </c>
      <c r="D27" s="15">
        <f>6+2.52*2</f>
        <v>11.04</v>
      </c>
      <c r="E27" s="5">
        <f>E26*0.6</f>
        <v>99000</v>
      </c>
      <c r="F27" s="16">
        <f t="shared" si="1"/>
        <v>1092960</v>
      </c>
    </row>
    <row r="28" spans="1:6" ht="15.75" x14ac:dyDescent="0.3">
      <c r="A28" s="14" t="s">
        <v>31</v>
      </c>
      <c r="B28" s="3" t="s">
        <v>32</v>
      </c>
      <c r="C28" s="4" t="s">
        <v>33</v>
      </c>
      <c r="D28" s="15">
        <v>1</v>
      </c>
      <c r="E28" s="5">
        <f>134000*6</f>
        <v>804000</v>
      </c>
      <c r="F28" s="16">
        <f t="shared" si="1"/>
        <v>804000</v>
      </c>
    </row>
    <row r="29" spans="1:6" ht="15.75" x14ac:dyDescent="0.3">
      <c r="A29" s="14" t="s">
        <v>34</v>
      </c>
      <c r="B29" s="3" t="s">
        <v>35</v>
      </c>
      <c r="C29" s="4" t="s">
        <v>33</v>
      </c>
      <c r="D29" s="15">
        <v>1</v>
      </c>
      <c r="E29" s="5">
        <f>134000*4</f>
        <v>536000</v>
      </c>
      <c r="F29" s="16">
        <f t="shared" si="1"/>
        <v>536000</v>
      </c>
    </row>
    <row r="30" spans="1:6" ht="15.75" x14ac:dyDescent="0.3">
      <c r="A30" s="14" t="s">
        <v>36</v>
      </c>
      <c r="B30" s="3" t="s">
        <v>37</v>
      </c>
      <c r="C30" s="4" t="s">
        <v>2</v>
      </c>
      <c r="D30" s="15">
        <f>1005*(0.3*0.1)</f>
        <v>30.15</v>
      </c>
      <c r="E30" s="5">
        <v>222000</v>
      </c>
      <c r="F30" s="16">
        <f t="shared" si="1"/>
        <v>6693300</v>
      </c>
    </row>
    <row r="31" spans="1:6" ht="15.75" x14ac:dyDescent="0.3">
      <c r="A31" s="14" t="s">
        <v>38</v>
      </c>
      <c r="B31" s="3" t="s">
        <v>39</v>
      </c>
      <c r="C31" s="4" t="s">
        <v>6</v>
      </c>
      <c r="D31" s="15">
        <f>8.9+4.9+11.7+(12*8+5*9+6*3)*0.3</f>
        <v>73.199999999999989</v>
      </c>
      <c r="E31" s="5">
        <f>(48850/2.5*1.15+13000)*1.35</f>
        <v>47885.850000000006</v>
      </c>
      <c r="F31" s="16">
        <f t="shared" si="1"/>
        <v>3505244.2199999997</v>
      </c>
    </row>
    <row r="32" spans="1:6" ht="15.75" x14ac:dyDescent="0.3">
      <c r="A32" s="14" t="s">
        <v>40</v>
      </c>
      <c r="B32" s="3" t="s">
        <v>41</v>
      </c>
      <c r="C32" s="4" t="s">
        <v>2</v>
      </c>
      <c r="D32" s="15">
        <v>25</v>
      </c>
      <c r="E32" s="5">
        <v>34000</v>
      </c>
      <c r="F32" s="16">
        <f t="shared" si="1"/>
        <v>850000</v>
      </c>
    </row>
    <row r="33" spans="1:6" ht="15.75" x14ac:dyDescent="0.3">
      <c r="A33" s="14" t="s">
        <v>42</v>
      </c>
      <c r="B33" s="3" t="s">
        <v>43</v>
      </c>
      <c r="C33" s="4" t="s">
        <v>6</v>
      </c>
      <c r="D33" s="15">
        <v>20</v>
      </c>
      <c r="E33" s="5">
        <f>17800*0.6</f>
        <v>10680</v>
      </c>
      <c r="F33" s="16">
        <f t="shared" si="1"/>
        <v>213600</v>
      </c>
    </row>
    <row r="34" spans="1:6" ht="28.5" x14ac:dyDescent="0.3">
      <c r="A34" s="14" t="s">
        <v>44</v>
      </c>
      <c r="B34" s="3" t="s">
        <v>45</v>
      </c>
      <c r="C34" s="4" t="s">
        <v>0</v>
      </c>
      <c r="D34" s="15">
        <v>9</v>
      </c>
      <c r="E34" s="5">
        <v>65000</v>
      </c>
      <c r="F34" s="16">
        <f t="shared" si="1"/>
        <v>585000</v>
      </c>
    </row>
    <row r="35" spans="1:6" ht="15.75" x14ac:dyDescent="0.3">
      <c r="A35" s="14" t="s">
        <v>46</v>
      </c>
      <c r="B35" s="3" t="s">
        <v>47</v>
      </c>
      <c r="C35" s="4" t="s">
        <v>0</v>
      </c>
      <c r="D35" s="15">
        <v>2</v>
      </c>
      <c r="E35" s="5">
        <v>145000</v>
      </c>
      <c r="F35" s="16">
        <f t="shared" si="1"/>
        <v>290000</v>
      </c>
    </row>
    <row r="36" spans="1:6" ht="15.75" x14ac:dyDescent="0.3">
      <c r="A36" s="14" t="s">
        <v>48</v>
      </c>
      <c r="B36" s="3" t="s">
        <v>49</v>
      </c>
      <c r="C36" s="4" t="s">
        <v>0</v>
      </c>
      <c r="D36" s="15">
        <v>9</v>
      </c>
      <c r="E36" s="5">
        <v>56000</v>
      </c>
      <c r="F36" s="16">
        <f t="shared" si="1"/>
        <v>504000</v>
      </c>
    </row>
    <row r="37" spans="1:6" ht="15.75" x14ac:dyDescent="0.3">
      <c r="A37" s="14" t="s">
        <v>50</v>
      </c>
      <c r="B37" s="3" t="s">
        <v>51</v>
      </c>
      <c r="C37" s="4" t="s">
        <v>33</v>
      </c>
      <c r="D37" s="15">
        <v>1</v>
      </c>
      <c r="E37" s="5">
        <v>1345000</v>
      </c>
      <c r="F37" s="16">
        <f t="shared" si="1"/>
        <v>1345000</v>
      </c>
    </row>
    <row r="38" spans="1:6" x14ac:dyDescent="0.25">
      <c r="A38" s="8" t="s">
        <v>52</v>
      </c>
      <c r="B38" s="9" t="s">
        <v>53</v>
      </c>
      <c r="C38" s="10"/>
      <c r="D38" s="12"/>
      <c r="E38" s="11"/>
      <c r="F38" s="13"/>
    </row>
    <row r="39" spans="1:6" ht="15.75" x14ac:dyDescent="0.3">
      <c r="A39" s="14" t="s">
        <v>54</v>
      </c>
      <c r="B39" s="3" t="s">
        <v>55</v>
      </c>
      <c r="C39" s="4" t="s">
        <v>2</v>
      </c>
      <c r="D39" s="15">
        <v>66</v>
      </c>
      <c r="E39" s="5">
        <v>187300</v>
      </c>
      <c r="F39" s="16">
        <f>D39*E39</f>
        <v>12361800</v>
      </c>
    </row>
    <row r="40" spans="1:6" ht="15.75" x14ac:dyDescent="0.3">
      <c r="A40" s="14" t="s">
        <v>56</v>
      </c>
      <c r="B40" s="3" t="s">
        <v>57</v>
      </c>
      <c r="C40" s="4" t="s">
        <v>33</v>
      </c>
      <c r="D40" s="15">
        <v>1</v>
      </c>
      <c r="E40" s="5">
        <v>345000</v>
      </c>
      <c r="F40" s="16">
        <f>D40*E40</f>
        <v>345000</v>
      </c>
    </row>
    <row r="41" spans="1:6" x14ac:dyDescent="0.25">
      <c r="A41" s="8" t="s">
        <v>58</v>
      </c>
      <c r="B41" s="9" t="s">
        <v>59</v>
      </c>
      <c r="C41" s="10"/>
      <c r="D41" s="12"/>
      <c r="E41" s="11"/>
      <c r="F41" s="13"/>
    </row>
    <row r="42" spans="1:6" ht="15.75" x14ac:dyDescent="0.3">
      <c r="A42" s="14" t="s">
        <v>60</v>
      </c>
      <c r="B42" s="3" t="s">
        <v>61</v>
      </c>
      <c r="C42" s="4" t="s">
        <v>6</v>
      </c>
      <c r="D42" s="15">
        <v>5.94</v>
      </c>
      <c r="E42" s="5">
        <v>1114239.552932807</v>
      </c>
      <c r="F42" s="16">
        <f>D42*E42</f>
        <v>6618582.9444208741</v>
      </c>
    </row>
    <row r="43" spans="1:6" ht="15.75" x14ac:dyDescent="0.3">
      <c r="A43" s="14" t="s">
        <v>62</v>
      </c>
      <c r="B43" s="3" t="s">
        <v>63</v>
      </c>
      <c r="C43" s="4" t="s">
        <v>6</v>
      </c>
      <c r="D43" s="15">
        <v>9</v>
      </c>
      <c r="E43" s="5">
        <v>1348229.8590486965</v>
      </c>
      <c r="F43" s="16">
        <f>D43*E43</f>
        <v>12134068.731438268</v>
      </c>
    </row>
    <row r="44" spans="1:6" ht="15.75" x14ac:dyDescent="0.3">
      <c r="A44" s="14" t="s">
        <v>62</v>
      </c>
      <c r="B44" s="3" t="s">
        <v>64</v>
      </c>
      <c r="C44" s="4" t="s">
        <v>6</v>
      </c>
      <c r="D44" s="15">
        <v>3</v>
      </c>
      <c r="E44" s="5">
        <v>882477.72592278314</v>
      </c>
      <c r="F44" s="16">
        <f>D44*E44</f>
        <v>2647433.1777683496</v>
      </c>
    </row>
    <row r="45" spans="1:6" x14ac:dyDescent="0.25">
      <c r="A45" s="8" t="s">
        <v>65</v>
      </c>
      <c r="B45" s="9" t="s">
        <v>66</v>
      </c>
      <c r="C45" s="10"/>
      <c r="D45" s="12"/>
      <c r="E45" s="11"/>
      <c r="F45" s="13"/>
    </row>
    <row r="46" spans="1:6" ht="15.75" x14ac:dyDescent="0.3">
      <c r="A46" s="14" t="s">
        <v>67</v>
      </c>
      <c r="B46" s="3" t="s">
        <v>68</v>
      </c>
      <c r="C46" s="4" t="s">
        <v>0</v>
      </c>
      <c r="D46" s="15">
        <v>1</v>
      </c>
      <c r="E46" s="5">
        <f>5166000*1.45</f>
        <v>7490700</v>
      </c>
      <c r="F46" s="16">
        <f t="shared" ref="F46:F62" si="2">D46*E46</f>
        <v>7490700</v>
      </c>
    </row>
    <row r="47" spans="1:6" ht="15.75" x14ac:dyDescent="0.3">
      <c r="A47" s="14" t="s">
        <v>69</v>
      </c>
      <c r="B47" s="3" t="s">
        <v>70</v>
      </c>
      <c r="C47" s="4" t="s">
        <v>0</v>
      </c>
      <c r="D47" s="15">
        <v>2</v>
      </c>
      <c r="E47" s="5">
        <v>506900</v>
      </c>
      <c r="F47" s="16">
        <f t="shared" si="2"/>
        <v>1013800</v>
      </c>
    </row>
    <row r="48" spans="1:6" ht="15.75" x14ac:dyDescent="0.3">
      <c r="A48" s="14" t="s">
        <v>71</v>
      </c>
      <c r="B48" s="3" t="s">
        <v>72</v>
      </c>
      <c r="C48" s="4" t="s">
        <v>0</v>
      </c>
      <c r="D48" s="15">
        <v>2</v>
      </c>
      <c r="E48" s="5">
        <v>658000</v>
      </c>
      <c r="F48" s="16">
        <f t="shared" si="2"/>
        <v>1316000</v>
      </c>
    </row>
    <row r="49" spans="1:6" ht="15.75" x14ac:dyDescent="0.3">
      <c r="A49" s="14" t="s">
        <v>73</v>
      </c>
      <c r="B49" s="3" t="s">
        <v>74</v>
      </c>
      <c r="C49" s="4" t="s">
        <v>0</v>
      </c>
      <c r="D49" s="15">
        <v>1</v>
      </c>
      <c r="E49" s="5">
        <f>1350000*(1+0.04+0.04+0.04*1.19)*1.1</f>
        <v>1674486.0000000005</v>
      </c>
      <c r="F49" s="16">
        <f>D49*E49</f>
        <v>1674486.0000000005</v>
      </c>
    </row>
    <row r="50" spans="1:6" ht="15.75" x14ac:dyDescent="0.3">
      <c r="A50" s="14" t="s">
        <v>75</v>
      </c>
      <c r="B50" s="3" t="s">
        <v>76</v>
      </c>
      <c r="C50" s="4" t="s">
        <v>0</v>
      </c>
      <c r="D50" s="15">
        <v>1</v>
      </c>
      <c r="E50" s="5">
        <v>339900</v>
      </c>
      <c r="F50" s="16">
        <f>D50*E50</f>
        <v>339900</v>
      </c>
    </row>
    <row r="51" spans="1:6" ht="15.75" x14ac:dyDescent="0.3">
      <c r="A51" s="14" t="s">
        <v>77</v>
      </c>
      <c r="B51" s="3" t="s">
        <v>78</v>
      </c>
      <c r="C51" s="4" t="s">
        <v>0</v>
      </c>
      <c r="D51" s="15">
        <v>1</v>
      </c>
      <c r="E51" s="5">
        <v>274900</v>
      </c>
      <c r="F51" s="16">
        <f>D51*E51</f>
        <v>274900</v>
      </c>
    </row>
    <row r="52" spans="1:6" ht="15.75" x14ac:dyDescent="0.3">
      <c r="A52" s="14" t="s">
        <v>79</v>
      </c>
      <c r="B52" s="3" t="s">
        <v>80</v>
      </c>
      <c r="C52" s="4" t="s">
        <v>0</v>
      </c>
      <c r="D52" s="15">
        <v>2</v>
      </c>
      <c r="E52" s="5">
        <f>4032000*1.45</f>
        <v>5846400</v>
      </c>
      <c r="F52" s="16">
        <f t="shared" si="2"/>
        <v>11692800</v>
      </c>
    </row>
    <row r="53" spans="1:6" ht="15.75" x14ac:dyDescent="0.3">
      <c r="A53" s="14" t="s">
        <v>81</v>
      </c>
      <c r="B53" s="3" t="s">
        <v>76</v>
      </c>
      <c r="C53" s="4" t="s">
        <v>0</v>
      </c>
      <c r="D53" s="15">
        <v>2</v>
      </c>
      <c r="E53" s="5">
        <v>339900</v>
      </c>
      <c r="F53" s="16">
        <f>D53*E53</f>
        <v>679800</v>
      </c>
    </row>
    <row r="54" spans="1:6" ht="15.75" x14ac:dyDescent="0.3">
      <c r="A54" s="14" t="s">
        <v>82</v>
      </c>
      <c r="B54" s="3" t="s">
        <v>78</v>
      </c>
      <c r="C54" s="4" t="s">
        <v>0</v>
      </c>
      <c r="D54" s="15">
        <v>2</v>
      </c>
      <c r="E54" s="5">
        <v>274900</v>
      </c>
      <c r="F54" s="16">
        <f>D54*E54</f>
        <v>549800</v>
      </c>
    </row>
    <row r="55" spans="1:6" ht="28.5" x14ac:dyDescent="0.3">
      <c r="A55" s="14"/>
      <c r="B55" s="3" t="s">
        <v>83</v>
      </c>
      <c r="C55" s="4" t="s">
        <v>0</v>
      </c>
      <c r="D55" s="15">
        <v>2</v>
      </c>
      <c r="E55" s="5">
        <v>280000</v>
      </c>
      <c r="F55" s="16">
        <f>D55*E55</f>
        <v>560000</v>
      </c>
    </row>
    <row r="56" spans="1:6" ht="28.5" x14ac:dyDescent="0.3">
      <c r="A56" s="14" t="s">
        <v>84</v>
      </c>
      <c r="B56" s="3" t="s">
        <v>85</v>
      </c>
      <c r="C56" s="4" t="s">
        <v>0</v>
      </c>
      <c r="D56" s="15">
        <v>1</v>
      </c>
      <c r="E56" s="5">
        <f>3350000*1.45</f>
        <v>4857500</v>
      </c>
      <c r="F56" s="16">
        <f t="shared" si="2"/>
        <v>4857500</v>
      </c>
    </row>
    <row r="57" spans="1:6" ht="15.75" x14ac:dyDescent="0.3">
      <c r="A57" s="14" t="s">
        <v>86</v>
      </c>
      <c r="B57" s="3" t="s">
        <v>87</v>
      </c>
      <c r="C57" s="4" t="s">
        <v>0</v>
      </c>
      <c r="D57" s="15">
        <v>1</v>
      </c>
      <c r="E57" s="5">
        <f>4050000*1.45+250000*4*1.2</f>
        <v>7072500</v>
      </c>
      <c r="F57" s="16">
        <f t="shared" si="2"/>
        <v>7072500</v>
      </c>
    </row>
    <row r="58" spans="1:6" ht="28.5" x14ac:dyDescent="0.3">
      <c r="A58" s="14" t="s">
        <v>88</v>
      </c>
      <c r="B58" s="3" t="s">
        <v>89</v>
      </c>
      <c r="C58" s="4" t="s">
        <v>0</v>
      </c>
      <c r="D58" s="15">
        <v>1</v>
      </c>
      <c r="E58" s="5">
        <f>9360000*1.45+640000*4*1.2</f>
        <v>16644000</v>
      </c>
      <c r="F58" s="16">
        <f t="shared" si="2"/>
        <v>16644000</v>
      </c>
    </row>
    <row r="59" spans="1:6" ht="15.75" x14ac:dyDescent="0.3">
      <c r="A59" s="14" t="s">
        <v>90</v>
      </c>
      <c r="B59" s="3" t="s">
        <v>91</v>
      </c>
      <c r="C59" s="4" t="s">
        <v>0</v>
      </c>
      <c r="D59" s="15">
        <v>1</v>
      </c>
      <c r="E59" s="5">
        <f>1050000*1.9*1.45</f>
        <v>2892750</v>
      </c>
      <c r="F59" s="16">
        <f t="shared" si="2"/>
        <v>2892750</v>
      </c>
    </row>
    <row r="60" spans="1:6" ht="15.75" x14ac:dyDescent="0.3">
      <c r="A60" s="14" t="s">
        <v>92</v>
      </c>
      <c r="B60" s="3" t="s">
        <v>93</v>
      </c>
      <c r="C60" s="4" t="s">
        <v>0</v>
      </c>
      <c r="D60" s="15">
        <v>1</v>
      </c>
      <c r="E60" s="5">
        <v>339900</v>
      </c>
      <c r="F60" s="16">
        <f>D60*E60</f>
        <v>339900</v>
      </c>
    </row>
    <row r="61" spans="1:6" ht="15.75" x14ac:dyDescent="0.3">
      <c r="A61" s="14" t="s">
        <v>94</v>
      </c>
      <c r="B61" s="3" t="s">
        <v>78</v>
      </c>
      <c r="C61" s="4" t="s">
        <v>0</v>
      </c>
      <c r="D61" s="15">
        <v>1</v>
      </c>
      <c r="E61" s="5">
        <v>274900</v>
      </c>
      <c r="F61" s="16">
        <f>D61*E61</f>
        <v>274900</v>
      </c>
    </row>
    <row r="62" spans="1:6" ht="15.75" x14ac:dyDescent="0.3">
      <c r="A62" s="14" t="s">
        <v>95</v>
      </c>
      <c r="B62" s="3" t="s">
        <v>96</v>
      </c>
      <c r="C62" s="4" t="s">
        <v>0</v>
      </c>
      <c r="D62" s="15">
        <v>1</v>
      </c>
      <c r="E62" s="5">
        <f>3800000*1.45</f>
        <v>5510000</v>
      </c>
      <c r="F62" s="16">
        <f t="shared" si="2"/>
        <v>5510000</v>
      </c>
    </row>
    <row r="63" spans="1:6" x14ac:dyDescent="0.25">
      <c r="A63" s="8" t="s">
        <v>97</v>
      </c>
      <c r="B63" s="9" t="s">
        <v>98</v>
      </c>
      <c r="C63" s="10"/>
      <c r="D63" s="12"/>
      <c r="E63" s="11"/>
      <c r="F63" s="13"/>
    </row>
    <row r="64" spans="1:6" ht="15.75" x14ac:dyDescent="0.3">
      <c r="A64" s="14" t="s">
        <v>99</v>
      </c>
      <c r="B64" s="3" t="s">
        <v>100</v>
      </c>
      <c r="C64" s="4" t="s">
        <v>0</v>
      </c>
      <c r="D64" s="15">
        <v>1</v>
      </c>
      <c r="E64" s="5">
        <f>3240000*(1+0.04+0.04+0.04*1.19)*1.1</f>
        <v>4018766.4000000008</v>
      </c>
      <c r="F64" s="16">
        <f>D64*E64</f>
        <v>4018766.4000000008</v>
      </c>
    </row>
    <row r="65" spans="1:6" ht="15.75" x14ac:dyDescent="0.3">
      <c r="A65" s="14" t="s">
        <v>101</v>
      </c>
      <c r="B65" s="3" t="s">
        <v>102</v>
      </c>
      <c r="C65" s="4" t="s">
        <v>0</v>
      </c>
      <c r="D65" s="15">
        <v>2</v>
      </c>
      <c r="E65" s="5">
        <f>1400000*(1+0.04+0.04+0.04*1.19)*1.1</f>
        <v>1736504.0000000005</v>
      </c>
      <c r="F65" s="16">
        <f>D65*E65</f>
        <v>3473008.0000000009</v>
      </c>
    </row>
    <row r="66" spans="1:6" ht="15.75" x14ac:dyDescent="0.3">
      <c r="A66" s="14" t="s">
        <v>103</v>
      </c>
      <c r="B66" s="3" t="s">
        <v>104</v>
      </c>
      <c r="C66" s="4" t="s">
        <v>0</v>
      </c>
      <c r="D66" s="15">
        <v>1</v>
      </c>
      <c r="E66" s="5">
        <f>2650000*(1+0.04+0.04+0.04*1.19)*1.1</f>
        <v>3286954.0000000009</v>
      </c>
      <c r="F66" s="16">
        <f>D66*E66</f>
        <v>3286954.0000000009</v>
      </c>
    </row>
    <row r="67" spans="1:6" x14ac:dyDescent="0.25">
      <c r="A67" s="8" t="s">
        <v>105</v>
      </c>
      <c r="B67" s="9" t="s">
        <v>106</v>
      </c>
      <c r="C67" s="10"/>
      <c r="D67" s="12"/>
      <c r="E67" s="11"/>
      <c r="F67" s="13"/>
    </row>
    <row r="68" spans="1:6" ht="15.75" x14ac:dyDescent="0.3">
      <c r="A68" s="14" t="s">
        <v>107</v>
      </c>
      <c r="B68" s="3" t="s">
        <v>108</v>
      </c>
      <c r="C68" s="4" t="s">
        <v>0</v>
      </c>
      <c r="D68" s="15">
        <v>20</v>
      </c>
      <c r="E68" s="5">
        <v>132800</v>
      </c>
      <c r="F68" s="16">
        <f t="shared" ref="F68:F80" si="3">D68*E68</f>
        <v>2656000</v>
      </c>
    </row>
    <row r="69" spans="1:6" ht="15.75" x14ac:dyDescent="0.3">
      <c r="A69" s="14" t="s">
        <v>109</v>
      </c>
      <c r="B69" s="3" t="s">
        <v>110</v>
      </c>
      <c r="C69" s="4" t="s">
        <v>0</v>
      </c>
      <c r="D69" s="15">
        <v>1</v>
      </c>
      <c r="E69" s="5">
        <v>425900</v>
      </c>
      <c r="F69" s="16">
        <f t="shared" si="3"/>
        <v>425900</v>
      </c>
    </row>
    <row r="70" spans="1:6" ht="15.75" x14ac:dyDescent="0.3">
      <c r="A70" s="14" t="s">
        <v>111</v>
      </c>
      <c r="B70" s="3" t="s">
        <v>112</v>
      </c>
      <c r="C70" s="4" t="s">
        <v>0</v>
      </c>
      <c r="D70" s="15">
        <v>3</v>
      </c>
      <c r="E70" s="5">
        <v>325200</v>
      </c>
      <c r="F70" s="16">
        <f t="shared" si="3"/>
        <v>975600</v>
      </c>
    </row>
    <row r="71" spans="1:6" ht="15.75" x14ac:dyDescent="0.3">
      <c r="A71" s="14" t="s">
        <v>113</v>
      </c>
      <c r="B71" s="3" t="s">
        <v>114</v>
      </c>
      <c r="C71" s="4" t="s">
        <v>0</v>
      </c>
      <c r="D71" s="15">
        <v>1</v>
      </c>
      <c r="E71" s="5">
        <v>435000</v>
      </c>
      <c r="F71" s="16">
        <f t="shared" si="3"/>
        <v>435000</v>
      </c>
    </row>
    <row r="72" spans="1:6" ht="15.75" x14ac:dyDescent="0.3">
      <c r="A72" s="14" t="s">
        <v>115</v>
      </c>
      <c r="B72" s="3" t="s">
        <v>116</v>
      </c>
      <c r="C72" s="4" t="s">
        <v>0</v>
      </c>
      <c r="D72" s="15">
        <v>6</v>
      </c>
      <c r="E72" s="5">
        <v>485000</v>
      </c>
      <c r="F72" s="16">
        <f t="shared" si="3"/>
        <v>2910000</v>
      </c>
    </row>
    <row r="73" spans="1:6" ht="15.75" x14ac:dyDescent="0.3">
      <c r="A73" s="14" t="s">
        <v>117</v>
      </c>
      <c r="B73" s="3" t="s">
        <v>118</v>
      </c>
      <c r="C73" s="4" t="s">
        <v>0</v>
      </c>
      <c r="D73" s="15">
        <v>3</v>
      </c>
      <c r="E73" s="5">
        <f>797000*1.19*1.35</f>
        <v>1280380.5</v>
      </c>
      <c r="F73" s="16">
        <f t="shared" si="3"/>
        <v>3841141.5</v>
      </c>
    </row>
    <row r="74" spans="1:6" ht="15.75" x14ac:dyDescent="0.3">
      <c r="A74" s="14" t="s">
        <v>119</v>
      </c>
      <c r="B74" s="3" t="s">
        <v>120</v>
      </c>
      <c r="C74" s="4" t="s">
        <v>0</v>
      </c>
      <c r="D74" s="15">
        <v>1</v>
      </c>
      <c r="E74" s="5">
        <v>487500</v>
      </c>
      <c r="F74" s="16">
        <f t="shared" si="3"/>
        <v>487500</v>
      </c>
    </row>
    <row r="75" spans="1:6" ht="15.75" x14ac:dyDescent="0.3">
      <c r="A75" s="14" t="s">
        <v>121</v>
      </c>
      <c r="B75" s="3" t="s">
        <v>122</v>
      </c>
      <c r="C75" s="4" t="s">
        <v>0</v>
      </c>
      <c r="D75" s="15">
        <v>1</v>
      </c>
      <c r="E75" s="5">
        <v>165400</v>
      </c>
      <c r="F75" s="16">
        <f t="shared" si="3"/>
        <v>165400</v>
      </c>
    </row>
    <row r="76" spans="1:6" ht="15.75" x14ac:dyDescent="0.3">
      <c r="A76" s="14" t="s">
        <v>123</v>
      </c>
      <c r="B76" s="3" t="s">
        <v>124</v>
      </c>
      <c r="C76" s="4" t="s">
        <v>6</v>
      </c>
      <c r="D76" s="15">
        <v>12</v>
      </c>
      <c r="E76" s="5">
        <v>58400</v>
      </c>
      <c r="F76" s="16">
        <f t="shared" si="3"/>
        <v>700800</v>
      </c>
    </row>
    <row r="77" spans="1:6" ht="15.75" x14ac:dyDescent="0.3">
      <c r="A77" s="14" t="s">
        <v>125</v>
      </c>
      <c r="B77" s="3" t="s">
        <v>126</v>
      </c>
      <c r="C77" s="4" t="s">
        <v>0</v>
      </c>
      <c r="D77" s="15">
        <v>1</v>
      </c>
      <c r="E77" s="5">
        <v>640000</v>
      </c>
      <c r="F77" s="16">
        <f t="shared" si="3"/>
        <v>640000</v>
      </c>
    </row>
    <row r="78" spans="1:6" ht="15.75" x14ac:dyDescent="0.3">
      <c r="A78" s="14" t="s">
        <v>127</v>
      </c>
      <c r="B78" s="3" t="s">
        <v>128</v>
      </c>
      <c r="C78" s="4" t="s">
        <v>0</v>
      </c>
      <c r="D78" s="15">
        <v>1</v>
      </c>
      <c r="E78" s="5">
        <v>1745800</v>
      </c>
      <c r="F78" s="16">
        <f t="shared" si="3"/>
        <v>1745800</v>
      </c>
    </row>
    <row r="79" spans="1:6" ht="15.75" x14ac:dyDescent="0.3">
      <c r="A79" s="14" t="s">
        <v>129</v>
      </c>
      <c r="B79" s="3" t="s">
        <v>130</v>
      </c>
      <c r="C79" s="4" t="s">
        <v>0</v>
      </c>
      <c r="D79" s="15">
        <v>4</v>
      </c>
      <c r="E79" s="5">
        <v>164300</v>
      </c>
      <c r="F79" s="16">
        <f t="shared" si="3"/>
        <v>657200</v>
      </c>
    </row>
    <row r="80" spans="1:6" ht="15.75" x14ac:dyDescent="0.3">
      <c r="A80" s="14" t="s">
        <v>131</v>
      </c>
      <c r="B80" s="3" t="s">
        <v>132</v>
      </c>
      <c r="C80" s="4" t="s">
        <v>0</v>
      </c>
      <c r="D80" s="15">
        <v>4</v>
      </c>
      <c r="E80" s="5">
        <v>285400</v>
      </c>
      <c r="F80" s="16">
        <f t="shared" si="3"/>
        <v>1141600</v>
      </c>
    </row>
    <row r="81" spans="1:6" x14ac:dyDescent="0.25">
      <c r="A81" s="8" t="s">
        <v>133</v>
      </c>
      <c r="B81" s="9" t="s">
        <v>134</v>
      </c>
      <c r="C81" s="10"/>
      <c r="D81" s="12"/>
      <c r="E81" s="11"/>
      <c r="F81" s="13"/>
    </row>
    <row r="82" spans="1:6" ht="15.75" x14ac:dyDescent="0.3">
      <c r="A82" s="14" t="s">
        <v>135</v>
      </c>
      <c r="B82" s="3" t="s">
        <v>136</v>
      </c>
      <c r="C82" s="4" t="s">
        <v>0</v>
      </c>
      <c r="D82" s="15">
        <v>1</v>
      </c>
      <c r="E82" s="5">
        <v>325000</v>
      </c>
      <c r="F82" s="16">
        <f>D82*E82</f>
        <v>325000</v>
      </c>
    </row>
    <row r="83" spans="1:6" ht="15.75" x14ac:dyDescent="0.3">
      <c r="A83" s="14" t="s">
        <v>137</v>
      </c>
      <c r="B83" s="3" t="s">
        <v>138</v>
      </c>
      <c r="C83" s="4" t="s">
        <v>0</v>
      </c>
      <c r="D83" s="15">
        <v>1</v>
      </c>
      <c r="E83" s="5">
        <f>1700000*1.25</f>
        <v>2125000</v>
      </c>
      <c r="F83" s="16">
        <f>D83*E83</f>
        <v>2125000</v>
      </c>
    </row>
    <row r="84" spans="1:6" ht="15.75" x14ac:dyDescent="0.3">
      <c r="A84" s="14" t="s">
        <v>139</v>
      </c>
      <c r="B84" s="3" t="s">
        <v>140</v>
      </c>
      <c r="C84" s="4" t="s">
        <v>0</v>
      </c>
      <c r="D84" s="15">
        <v>1</v>
      </c>
      <c r="E84" s="5">
        <f>4800000*1.25</f>
        <v>6000000</v>
      </c>
      <c r="F84" s="16">
        <f>D84*E84</f>
        <v>6000000</v>
      </c>
    </row>
    <row r="85" spans="1:6" ht="15.75" x14ac:dyDescent="0.3">
      <c r="A85" s="14" t="s">
        <v>141</v>
      </c>
      <c r="B85" s="3" t="s">
        <v>142</v>
      </c>
      <c r="C85" s="4" t="s">
        <v>0</v>
      </c>
      <c r="D85" s="15">
        <v>1</v>
      </c>
      <c r="E85" s="5">
        <f>550000*1.25</f>
        <v>687500</v>
      </c>
      <c r="F85" s="16">
        <f>D85*E85</f>
        <v>687500</v>
      </c>
    </row>
    <row r="86" spans="1:6" ht="15.75" x14ac:dyDescent="0.3">
      <c r="A86" s="14" t="s">
        <v>143</v>
      </c>
      <c r="B86" s="3" t="s">
        <v>144</v>
      </c>
      <c r="C86" s="4" t="s">
        <v>0</v>
      </c>
      <c r="D86" s="15">
        <v>1</v>
      </c>
      <c r="E86" s="5">
        <v>350000</v>
      </c>
      <c r="F86" s="16">
        <f>D86*E86</f>
        <v>350000</v>
      </c>
    </row>
    <row r="87" spans="1:6" x14ac:dyDescent="0.25">
      <c r="A87" s="27" t="s">
        <v>145</v>
      </c>
      <c r="B87" s="27"/>
      <c r="C87" s="27"/>
      <c r="D87" s="27"/>
      <c r="E87" s="27"/>
      <c r="F87" s="17">
        <f>SUM(F3:F86)</f>
        <v>195615394.97362748</v>
      </c>
    </row>
    <row r="88" spans="1:6" ht="15.75" x14ac:dyDescent="0.3">
      <c r="A88" s="28" t="s">
        <v>146</v>
      </c>
      <c r="B88" s="28"/>
      <c r="C88" s="28"/>
      <c r="D88" s="28"/>
      <c r="E88" s="18">
        <v>0.1</v>
      </c>
      <c r="F88" s="19">
        <f>E88*F87</f>
        <v>19561539.497362748</v>
      </c>
    </row>
    <row r="89" spans="1:6" ht="15.75" x14ac:dyDescent="0.3">
      <c r="A89" s="28" t="s">
        <v>147</v>
      </c>
      <c r="B89" s="28"/>
      <c r="C89" s="28"/>
      <c r="D89" s="28"/>
      <c r="E89" s="18">
        <v>0.02</v>
      </c>
      <c r="F89" s="19">
        <f>E89*F87</f>
        <v>3912307.8994725496</v>
      </c>
    </row>
    <row r="90" spans="1:6" ht="15.75" x14ac:dyDescent="0.3">
      <c r="A90" s="28" t="s">
        <v>148</v>
      </c>
      <c r="B90" s="28"/>
      <c r="C90" s="28"/>
      <c r="D90" s="28"/>
      <c r="E90" s="18">
        <v>0.05</v>
      </c>
      <c r="F90" s="19">
        <f>E90*F87</f>
        <v>9780769.7486813739</v>
      </c>
    </row>
    <row r="91" spans="1:6" ht="15.75" x14ac:dyDescent="0.3">
      <c r="A91" s="28" t="s">
        <v>149</v>
      </c>
      <c r="B91" s="28"/>
      <c r="C91" s="28"/>
      <c r="D91" s="28"/>
      <c r="E91" s="18">
        <v>0.19</v>
      </c>
      <c r="F91" s="19">
        <f>E91*F90</f>
        <v>1858346.2522494611</v>
      </c>
    </row>
    <row r="92" spans="1:6" x14ac:dyDescent="0.25">
      <c r="A92" s="27" t="s">
        <v>150</v>
      </c>
      <c r="B92" s="27"/>
      <c r="C92" s="27"/>
      <c r="D92" s="27"/>
      <c r="E92" s="27"/>
      <c r="F92" s="17">
        <f>SUM(F87:F91)</f>
        <v>230728358.37139359</v>
      </c>
    </row>
  </sheetData>
  <mergeCells count="6">
    <mergeCell ref="A92:E92"/>
    <mergeCell ref="A87:E87"/>
    <mergeCell ref="A88:D88"/>
    <mergeCell ref="A89:D89"/>
    <mergeCell ref="A90:D90"/>
    <mergeCell ref="A91:D91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 Riveros</dc:creator>
  <cp:lastModifiedBy>Laura Riveros</cp:lastModifiedBy>
  <dcterms:created xsi:type="dcterms:W3CDTF">2026-06-04T00:57:44Z</dcterms:created>
  <dcterms:modified xsi:type="dcterms:W3CDTF">2026-06-07T03:59:58Z</dcterms:modified>
</cp:coreProperties>
</file>