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Nueva carpeta\"/>
    </mc:Choice>
  </mc:AlternateContent>
  <xr:revisionPtr revIDLastSave="0" documentId="13_ncr:1_{2B852E61-AD7F-423B-880F-74897AD706EE}" xr6:coauthVersionLast="47" xr6:coauthVersionMax="47" xr10:uidLastSave="{00000000-0000-0000-0000-000000000000}"/>
  <bookViews>
    <workbookView xWindow="4335" yWindow="3540" windowWidth="21600" windowHeight="11295" xr2:uid="{B04890B5-28C4-4498-B9DF-6B6C9D6AC7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8" i="1" l="1"/>
  <c r="E52" i="1"/>
  <c r="E51" i="1"/>
  <c r="E50" i="1"/>
  <c r="E16" i="1"/>
  <c r="E13" i="1"/>
  <c r="E12" i="1"/>
  <c r="E11" i="1"/>
  <c r="E5" i="1"/>
  <c r="E4" i="1"/>
  <c r="E3" i="1"/>
  <c r="D39" i="1"/>
  <c r="D38" i="1"/>
  <c r="D36" i="1"/>
  <c r="D33" i="1"/>
  <c r="D18" i="1"/>
  <c r="D16" i="1"/>
  <c r="D13" i="1"/>
  <c r="D11" i="1"/>
  <c r="D5" i="1"/>
  <c r="D3" i="1"/>
  <c r="H58" i="1"/>
  <c r="H52" i="1"/>
  <c r="H51" i="1"/>
  <c r="H50" i="1"/>
  <c r="H16" i="1"/>
  <c r="H13" i="1"/>
  <c r="H12" i="1"/>
  <c r="H11" i="1"/>
  <c r="H5" i="1"/>
  <c r="H4" i="1"/>
  <c r="H3" i="1"/>
  <c r="F59" i="1"/>
  <c r="F57" i="1"/>
  <c r="F56" i="1"/>
  <c r="F48" i="1"/>
  <c r="F47" i="1"/>
  <c r="F45" i="1"/>
  <c r="F44" i="1"/>
  <c r="F42" i="1"/>
  <c r="F41" i="1"/>
  <c r="F40" i="1"/>
  <c r="F34" i="1"/>
  <c r="F32" i="1"/>
  <c r="F31" i="1"/>
  <c r="F30" i="1"/>
  <c r="F29" i="1"/>
  <c r="F28" i="1"/>
  <c r="F27" i="1"/>
  <c r="F26" i="1"/>
  <c r="F23" i="1"/>
  <c r="F22" i="1"/>
  <c r="F19" i="1"/>
  <c r="F14" i="1"/>
  <c r="D37" i="1" l="1"/>
  <c r="F58" i="1"/>
  <c r="F36" i="1"/>
  <c r="F18" i="1"/>
  <c r="F16" i="1"/>
  <c r="F13" i="1"/>
  <c r="F12" i="1"/>
  <c r="F11" i="1"/>
  <c r="F5" i="1"/>
  <c r="F52" i="1"/>
  <c r="F51" i="1"/>
  <c r="F50" i="1"/>
  <c r="F39" i="1"/>
  <c r="F38" i="1"/>
  <c r="F33" i="1"/>
  <c r="F4" i="1"/>
  <c r="F3" i="1"/>
  <c r="F3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win7</author>
  </authors>
  <commentList>
    <comment ref="D23" authorId="0" shapeId="0" xr:uid="{BA773719-23E2-485D-B70E-BA5A705B1531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- 1 Antena, 4 Fachada, 6 Caja, 1 Bodega, 1 Subwoofer+ 2 Aires</t>
        </r>
      </text>
    </comment>
    <comment ref="D27" authorId="0" shapeId="0" xr:uid="{1462FB2C-84CB-4A3A-9306-D775DBF72DC1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2 Bodega, 1 Vestier, 1 501, 2 Caja, 2 Entrada, 1 Aviso, 2 Rieles,</t>
        </r>
      </text>
    </comment>
  </commentList>
</comments>
</file>

<file path=xl/sharedStrings.xml><?xml version="1.0" encoding="utf-8"?>
<sst xmlns="http://schemas.openxmlformats.org/spreadsheetml/2006/main" count="167" uniqueCount="118">
  <si>
    <t>UNIDAD</t>
  </si>
  <si>
    <t>1.01</t>
  </si>
  <si>
    <t>Desmonte de paneles en madera (incluye reparación de muro y retiro de escombros)</t>
  </si>
  <si>
    <t>m2</t>
  </si>
  <si>
    <t>1.02</t>
  </si>
  <si>
    <t>Desmantelamiento Red De Aire Acondicionado</t>
  </si>
  <si>
    <t>Glb</t>
  </si>
  <si>
    <t>1.03</t>
  </si>
  <si>
    <t>Cerramiento Provisional con montaje de Banner</t>
  </si>
  <si>
    <t>AD</t>
  </si>
  <si>
    <t>Retiro de material a botadero</t>
  </si>
  <si>
    <t>Montaje Slackwall</t>
  </si>
  <si>
    <t>Traslado de Mobiliario</t>
  </si>
  <si>
    <t>Refuerzo Fachada</t>
  </si>
  <si>
    <t>m</t>
  </si>
  <si>
    <t>2.1.01</t>
  </si>
  <si>
    <t>Suministro e instalación de muro una cara en Drywall</t>
  </si>
  <si>
    <t>2.1.02</t>
  </si>
  <si>
    <t>Suministro e instalación lineales en drywall</t>
  </si>
  <si>
    <t>2.1.03</t>
  </si>
  <si>
    <t>Techo En Drywall</t>
  </si>
  <si>
    <t>2.1.04</t>
  </si>
  <si>
    <t>Instalación Vidrio/Puerta Bodega (incluye marco y refuerzos)</t>
  </si>
  <si>
    <t>Un</t>
  </si>
  <si>
    <t>Fachada</t>
  </si>
  <si>
    <t>2.2.01</t>
  </si>
  <si>
    <t>Fachada en vidrio templado 10mm con tocetos aluminio</t>
  </si>
  <si>
    <t>PINTURA</t>
  </si>
  <si>
    <t>2.3.01</t>
  </si>
  <si>
    <t>Pintura vinilo tipo 1  ( 3 manos)</t>
  </si>
  <si>
    <t>2.3.02</t>
  </si>
  <si>
    <t>Aplicación de pintura en techos</t>
  </si>
  <si>
    <t>Pintura vinilo tipo 1  ( 2 manos) Bodega</t>
  </si>
  <si>
    <t>REDES ELÉCTRICAS</t>
  </si>
  <si>
    <t>2.4.1.01</t>
  </si>
  <si>
    <t>Adecuación tablero Eléctrico existente</t>
  </si>
  <si>
    <t>2.4.1.02</t>
  </si>
  <si>
    <t>Suministro e instalación de salida eléctrica para tomas incluidas antenas y aires acondicionados</t>
  </si>
  <si>
    <t>Reinstalción Caja Y Salida de Antena</t>
  </si>
  <si>
    <t>2.4.2</t>
  </si>
  <si>
    <t xml:space="preserve">Iluminación </t>
  </si>
  <si>
    <t/>
  </si>
  <si>
    <t>2.4.2.01</t>
  </si>
  <si>
    <t>Suministro e instalación de caja de control para iluminación con interruptor plano.</t>
  </si>
  <si>
    <t>2.4.2.02</t>
  </si>
  <si>
    <t>Suministro e instalación para salida eléctrica para iluminación normal en tubería PVC y cable n 12 libre de halógenos.</t>
  </si>
  <si>
    <t>2.4.2.03</t>
  </si>
  <si>
    <t>Suministro, armado e instalación de estructura metálica para iluminación tipo chanel ranurado con sus respectivos herrajes con pintura electroestática color blanco satinado.</t>
  </si>
  <si>
    <t>2.4.2.04</t>
  </si>
  <si>
    <t>Instalación  de lámparas para empotrar o sobreponer (vestieres 3 pasillo 3, cardan 2)</t>
  </si>
  <si>
    <t>2.4.2.05</t>
  </si>
  <si>
    <t>Instalación de lámparas para iluminación tipo reflector</t>
  </si>
  <si>
    <t>2.4.2.06</t>
  </si>
  <si>
    <t>Instalación de lámpara 2 x18 w</t>
  </si>
  <si>
    <t>2.4.2.07</t>
  </si>
  <si>
    <t>Instalación de lámpara tipo burbuja led</t>
  </si>
  <si>
    <t>2.4.2.08</t>
  </si>
  <si>
    <t>Instalación de riel para reflectores</t>
  </si>
  <si>
    <t>2.4.2.09</t>
  </si>
  <si>
    <t>Instalación Aviso Fachada</t>
  </si>
  <si>
    <t>2.4.3</t>
  </si>
  <si>
    <t>Suministros</t>
  </si>
  <si>
    <t>2.4.3.01</t>
  </si>
  <si>
    <t>Suministro Spot tipo riel par 30 12W.  Línea Económica</t>
  </si>
  <si>
    <t>2.4.3.02</t>
  </si>
  <si>
    <t>Suministro de rieles para lámpara tipo spot de dos vías, incluye transporte desde Bogotá de 1m</t>
  </si>
  <si>
    <t>2.4.3.03</t>
  </si>
  <si>
    <t>Suministro panel led par 30 pasillo vestier</t>
  </si>
  <si>
    <t>2.4.3.04</t>
  </si>
  <si>
    <t>Suministro Lampara 2x18 Bodega</t>
  </si>
  <si>
    <t>2.4.3.05</t>
  </si>
  <si>
    <t>Suministro lampara filamento Led</t>
  </si>
  <si>
    <t>2.4.3.06</t>
  </si>
  <si>
    <t>Suministro Aviso levis Fachada</t>
  </si>
  <si>
    <t>2.4.3.07</t>
  </si>
  <si>
    <t>Suministro Aviso 501</t>
  </si>
  <si>
    <t>2.4.4</t>
  </si>
  <si>
    <t>Sonido, Voz y Datos</t>
  </si>
  <si>
    <t>2.4.4.01</t>
  </si>
  <si>
    <t>Suministro e instalación de salida para sonido incluye tubería EMT de ¾, con cable guía y cajas.</t>
  </si>
  <si>
    <t>2.4.4.02</t>
  </si>
  <si>
    <t>Suministro e instalación tubería para punto de datos</t>
  </si>
  <si>
    <t>2.4.5</t>
  </si>
  <si>
    <t>Certificación retie  y otros</t>
  </si>
  <si>
    <t>2.4.5.01</t>
  </si>
  <si>
    <t>Diseño eléctrico, planos en AutoCAD firmados por Ing. Calculista para aprobación de RETIE</t>
  </si>
  <si>
    <t>2.4.5.02</t>
  </si>
  <si>
    <t xml:space="preserve">Certificación RETIE </t>
  </si>
  <si>
    <t>2.5</t>
  </si>
  <si>
    <t>Aire Acondicionado</t>
  </si>
  <si>
    <t>2.5.01</t>
  </si>
  <si>
    <t>Mantenimiento Equipo</t>
  </si>
  <si>
    <t>2.5.02</t>
  </si>
  <si>
    <t>Readecuación de ductos e Aire</t>
  </si>
  <si>
    <t>2.5.03</t>
  </si>
  <si>
    <t>Reinstalación de rejillas</t>
  </si>
  <si>
    <t>Filtros Aire</t>
  </si>
  <si>
    <t>Termostato</t>
  </si>
  <si>
    <t xml:space="preserve">Otros </t>
  </si>
  <si>
    <t>3.01</t>
  </si>
  <si>
    <t>Reparación piso microcemento para traslado de punto de pago</t>
  </si>
  <si>
    <t>3.02</t>
  </si>
  <si>
    <t xml:space="preserve">Aseo durante la obra (aseo diario) </t>
  </si>
  <si>
    <t>SEM</t>
  </si>
  <si>
    <t>3.03</t>
  </si>
  <si>
    <t>Aseo entrega final de obra -para entrega</t>
  </si>
  <si>
    <t>3.04</t>
  </si>
  <si>
    <t>Acompañamiento Diario Montaje Mobiliario y Puesta en Servicio (Incluye Aseo y Remates Generales)</t>
  </si>
  <si>
    <t>Día</t>
  </si>
  <si>
    <t>Reparación de piso microcemento</t>
  </si>
  <si>
    <t>PRELIMINARES</t>
  </si>
  <si>
    <t>muros</t>
  </si>
  <si>
    <t>item</t>
  </si>
  <si>
    <t>descripcion</t>
  </si>
  <si>
    <t>un</t>
  </si>
  <si>
    <t>valor_unitario</t>
  </si>
  <si>
    <t>cant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</si>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</sst>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0_)"/>
    <numFmt numFmtId="166" formatCode="&quot;$&quot;* #,##0.00;&quot;$&quot;* #,##0.00;_(@_)"/>
    <numFmt numFmtId="167" formatCode="_-&quot;$&quot;* #,##0.00_-;\-&quot;$&quot;* #,##0.00_-;_-&quot;$&quot;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Courier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165" fontId="6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4" fontId="2" fillId="2" borderId="2" xfId="2" applyFont="1" applyFill="1" applyBorder="1" applyAlignment="1">
      <alignment horizontal="center"/>
    </xf>
    <xf numFmtId="0" fontId="4" fillId="0" borderId="1" xfId="3" applyFont="1" applyBorder="1" applyAlignment="1">
      <alignment horizontal="justify" vertical="center"/>
    </xf>
    <xf numFmtId="0" fontId="4" fillId="0" borderId="1" xfId="3" applyFont="1" applyBorder="1" applyAlignment="1">
      <alignment horizontal="left" vertical="center" wrapText="1"/>
    </xf>
    <xf numFmtId="0" fontId="5" fillId="0" borderId="1" xfId="3" applyFont="1" applyBorder="1" applyAlignment="1">
      <alignment horizontal="center" vertical="center"/>
    </xf>
    <xf numFmtId="164" fontId="5" fillId="0" borderId="1" xfId="3" applyNumberFormat="1" applyFont="1" applyBorder="1" applyAlignment="1">
      <alignment horizontal="right" vertical="center"/>
    </xf>
    <xf numFmtId="2" fontId="5" fillId="0" borderId="1" xfId="1" applyNumberFormat="1" applyFont="1" applyBorder="1" applyAlignment="1">
      <alignment horizontal="center" vertical="center"/>
    </xf>
    <xf numFmtId="166" fontId="4" fillId="0" borderId="1" xfId="4" applyNumberFormat="1" applyFont="1" applyBorder="1" applyAlignment="1">
      <alignment vertical="center"/>
    </xf>
    <xf numFmtId="0" fontId="5" fillId="0" borderId="1" xfId="3" applyFont="1" applyBorder="1" applyAlignment="1">
      <alignment horizontal="justify" vertical="center"/>
    </xf>
    <xf numFmtId="0" fontId="5" fillId="0" borderId="1" xfId="3" applyFont="1" applyBorder="1" applyAlignment="1">
      <alignment horizontal="left" vertical="center" wrapText="1"/>
    </xf>
    <xf numFmtId="167" fontId="5" fillId="0" borderId="1" xfId="4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67" fontId="4" fillId="0" borderId="1" xfId="4" applyNumberFormat="1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 vertical="center"/>
    </xf>
    <xf numFmtId="44" fontId="5" fillId="0" borderId="1" xfId="2" applyFont="1" applyBorder="1" applyAlignment="1">
      <alignment horizontal="right" vertical="center"/>
    </xf>
    <xf numFmtId="0" fontId="5" fillId="0" borderId="3" xfId="3" applyFont="1" applyBorder="1" applyAlignment="1">
      <alignment horizontal="justify" vertical="center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44" fontId="5" fillId="0" borderId="3" xfId="2" applyFont="1" applyBorder="1" applyAlignment="1">
      <alignment horizontal="right" vertical="center"/>
    </xf>
    <xf numFmtId="2" fontId="5" fillId="0" borderId="3" xfId="1" applyNumberFormat="1" applyFont="1" applyBorder="1" applyAlignment="1">
      <alignment horizontal="center" vertical="center"/>
    </xf>
    <xf numFmtId="0" fontId="4" fillId="0" borderId="3" xfId="3" applyFont="1" applyBorder="1" applyAlignment="1">
      <alignment horizontal="justify" vertical="center"/>
    </xf>
    <xf numFmtId="0" fontId="4" fillId="0" borderId="3" xfId="3" applyFont="1" applyBorder="1" applyAlignment="1">
      <alignment horizontal="left" vertical="center" wrapText="1"/>
    </xf>
    <xf numFmtId="0" fontId="5" fillId="0" borderId="3" xfId="3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</cellXfs>
  <cellStyles count="5">
    <cellStyle name="Millares" xfId="1" builtinId="3"/>
    <cellStyle name="Moneda" xfId="2" builtinId="4"/>
    <cellStyle name="Normal" xfId="0" builtinId="0"/>
    <cellStyle name="Normal 2" xfId="3" xr:uid="{6F0D8B3A-E32C-494D-A6DA-2C0279C776F4}"/>
    <cellStyle name="Normal_LISTA S.E.D" xfId="4" xr:uid="{D5F2F5CB-0D72-4856-99EE-FC45FC4E83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CCDC-F2DF-4C07-8AA0-A5C97E5F84EA}">
  <dimension ref="A1:H60"/>
  <sheetViews>
    <sheetView tabSelected="1" workbookViewId="0">
      <selection activeCell="E1" sqref="E1:E1048576"/>
    </sheetView>
  </sheetViews>
  <sheetFormatPr baseColWidth="10" defaultRowHeight="15" x14ac:dyDescent="0.25"/>
  <cols>
    <col min="2" max="2" width="14" bestFit="1" customWidth="1"/>
  </cols>
  <sheetData>
    <row r="1" spans="1:8" x14ac:dyDescent="0.25">
      <c r="A1" s="1" t="s">
        <v>112</v>
      </c>
      <c r="B1" s="1" t="s">
        <v>113</v>
      </c>
      <c r="C1" s="1" t="s">
        <v>114</v>
      </c>
      <c r="D1" s="2" t="s">
        <v>116</v>
      </c>
      <c r="E1" s="2" t="s">
        <v>115</v>
      </c>
      <c r="F1" s="3" t="s">
        <v>117</v>
      </c>
      <c r="H1" s="2" t="s">
        <v>115</v>
      </c>
    </row>
    <row r="2" spans="1:8" x14ac:dyDescent="0.25">
      <c r="A2" s="4">
        <v>1</v>
      </c>
      <c r="B2" s="5" t="s">
        <v>110</v>
      </c>
      <c r="C2" s="6"/>
      <c r="D2" s="8"/>
      <c r="E2" s="7"/>
      <c r="F2" s="9"/>
      <c r="H2" s="7"/>
    </row>
    <row r="3" spans="1:8" ht="81" x14ac:dyDescent="0.25">
      <c r="A3" s="10" t="s">
        <v>1</v>
      </c>
      <c r="B3" s="11" t="s">
        <v>2</v>
      </c>
      <c r="C3" s="6" t="s">
        <v>3</v>
      </c>
      <c r="D3" s="8">
        <f>13.11*4.8</f>
        <v>62.927999999999997</v>
      </c>
      <c r="E3" s="7">
        <f>8000*1.35</f>
        <v>10800</v>
      </c>
      <c r="F3" s="12">
        <f>D3*E3</f>
        <v>679622.4</v>
      </c>
      <c r="H3" s="7">
        <f>8000*1.35</f>
        <v>10800</v>
      </c>
    </row>
    <row r="4" spans="1:8" ht="40.5" x14ac:dyDescent="0.25">
      <c r="A4" s="10" t="s">
        <v>4</v>
      </c>
      <c r="B4" s="11" t="s">
        <v>5</v>
      </c>
      <c r="C4" s="6" t="s">
        <v>6</v>
      </c>
      <c r="D4" s="8">
        <v>1</v>
      </c>
      <c r="E4" s="7">
        <f>800000*1.19*1.35</f>
        <v>1285200</v>
      </c>
      <c r="F4" s="12">
        <f>D4*E4</f>
        <v>1285200</v>
      </c>
      <c r="H4" s="7">
        <f>800000*1.19*1.35</f>
        <v>1285200</v>
      </c>
    </row>
    <row r="5" spans="1:8" ht="54" x14ac:dyDescent="0.25">
      <c r="A5" s="10" t="s">
        <v>7</v>
      </c>
      <c r="B5" s="11" t="s">
        <v>8</v>
      </c>
      <c r="C5" s="6" t="s">
        <v>6</v>
      </c>
      <c r="D5" s="8">
        <f>D16</f>
        <v>14.4</v>
      </c>
      <c r="E5" s="7">
        <f>40000*1.08</f>
        <v>43200</v>
      </c>
      <c r="F5" s="12">
        <f>D5*E5</f>
        <v>622080</v>
      </c>
      <c r="H5" s="7">
        <f>40000*1.08</f>
        <v>43200</v>
      </c>
    </row>
    <row r="6" spans="1:8" ht="27" x14ac:dyDescent="0.25">
      <c r="A6" s="10" t="s">
        <v>9</v>
      </c>
      <c r="B6" s="11" t="s">
        <v>10</v>
      </c>
      <c r="C6" s="6" t="s">
        <v>6</v>
      </c>
      <c r="D6" s="8"/>
      <c r="E6" s="7">
        <v>700000</v>
      </c>
      <c r="F6" s="12"/>
      <c r="H6" s="7">
        <v>700000</v>
      </c>
    </row>
    <row r="7" spans="1:8" ht="27" x14ac:dyDescent="0.25">
      <c r="A7" s="10" t="s">
        <v>9</v>
      </c>
      <c r="B7" s="11" t="s">
        <v>11</v>
      </c>
      <c r="C7" s="6" t="s">
        <v>6</v>
      </c>
      <c r="D7" s="8"/>
      <c r="E7" s="7">
        <v>400000</v>
      </c>
      <c r="F7" s="12"/>
      <c r="H7" s="7">
        <v>400000</v>
      </c>
    </row>
    <row r="8" spans="1:8" ht="27" x14ac:dyDescent="0.25">
      <c r="A8" s="10" t="s">
        <v>9</v>
      </c>
      <c r="B8" s="11" t="s">
        <v>12</v>
      </c>
      <c r="C8" s="6" t="s">
        <v>6</v>
      </c>
      <c r="D8" s="8"/>
      <c r="E8" s="7">
        <v>650000</v>
      </c>
      <c r="F8" s="12"/>
      <c r="H8" s="7">
        <v>650000</v>
      </c>
    </row>
    <row r="9" spans="1:8" ht="27" x14ac:dyDescent="0.25">
      <c r="A9" s="10" t="s">
        <v>9</v>
      </c>
      <c r="B9" s="11" t="s">
        <v>13</v>
      </c>
      <c r="C9" s="6" t="s">
        <v>14</v>
      </c>
      <c r="D9" s="8"/>
      <c r="E9" s="7">
        <v>38000</v>
      </c>
      <c r="F9" s="12"/>
      <c r="H9" s="7">
        <v>38000</v>
      </c>
    </row>
    <row r="10" spans="1:8" x14ac:dyDescent="0.25">
      <c r="A10" s="4">
        <v>2</v>
      </c>
      <c r="B10" s="5" t="s">
        <v>111</v>
      </c>
      <c r="C10" s="6"/>
      <c r="D10" s="8"/>
      <c r="E10" s="7"/>
      <c r="F10" s="12"/>
      <c r="H10" s="7"/>
    </row>
    <row r="11" spans="1:8" ht="54" x14ac:dyDescent="0.25">
      <c r="A11" s="10" t="s">
        <v>15</v>
      </c>
      <c r="B11" s="13" t="s">
        <v>16</v>
      </c>
      <c r="C11" s="14" t="s">
        <v>3</v>
      </c>
      <c r="D11" s="8">
        <f>3.5*4.8</f>
        <v>16.8</v>
      </c>
      <c r="E11" s="7">
        <f>ROUNDUP(55200*1.08,-2)</f>
        <v>59700</v>
      </c>
      <c r="F11" s="12">
        <f>D11*E11</f>
        <v>1002960</v>
      </c>
      <c r="H11" s="7">
        <f>ROUNDUP(55200*1.08,-2)</f>
        <v>59700</v>
      </c>
    </row>
    <row r="12" spans="1:8" ht="54" x14ac:dyDescent="0.25">
      <c r="A12" s="10" t="s">
        <v>17</v>
      </c>
      <c r="B12" s="13" t="s">
        <v>18</v>
      </c>
      <c r="C12" s="14" t="s">
        <v>14</v>
      </c>
      <c r="D12" s="8">
        <v>4.95</v>
      </c>
      <c r="E12" s="7">
        <f>ROUNDUP(41400*1.08,-2)</f>
        <v>44800</v>
      </c>
      <c r="F12" s="12">
        <f t="shared" ref="F12:F14" si="0">D12*E12</f>
        <v>221760</v>
      </c>
      <c r="H12" s="7">
        <f>ROUNDUP(41400*1.08,-2)</f>
        <v>44800</v>
      </c>
    </row>
    <row r="13" spans="1:8" x14ac:dyDescent="0.25">
      <c r="A13" s="10" t="s">
        <v>19</v>
      </c>
      <c r="B13" s="13" t="s">
        <v>20</v>
      </c>
      <c r="C13" s="14" t="s">
        <v>3</v>
      </c>
      <c r="D13" s="8">
        <f>1.5*1.5</f>
        <v>2.25</v>
      </c>
      <c r="E13" s="7">
        <f>ROUNDUP(48000*1.08,-2)</f>
        <v>51900</v>
      </c>
      <c r="F13" s="12">
        <f t="shared" si="0"/>
        <v>116775</v>
      </c>
      <c r="H13" s="7">
        <f>ROUNDUP(48000*1.08,-2)</f>
        <v>51900</v>
      </c>
    </row>
    <row r="14" spans="1:8" ht="67.5" x14ac:dyDescent="0.25">
      <c r="A14" s="10" t="s">
        <v>21</v>
      </c>
      <c r="B14" s="13" t="s">
        <v>22</v>
      </c>
      <c r="C14" s="14" t="s">
        <v>23</v>
      </c>
      <c r="D14" s="8">
        <v>1</v>
      </c>
      <c r="E14" s="7">
        <v>450000</v>
      </c>
      <c r="F14" s="12">
        <f t="shared" si="0"/>
        <v>450000</v>
      </c>
      <c r="H14" s="7">
        <v>450000</v>
      </c>
    </row>
    <row r="15" spans="1:8" x14ac:dyDescent="0.25">
      <c r="A15" s="4">
        <v>3</v>
      </c>
      <c r="B15" s="15" t="s">
        <v>24</v>
      </c>
      <c r="C15" s="14"/>
      <c r="D15" s="8"/>
      <c r="E15" s="7"/>
      <c r="F15" s="12"/>
      <c r="H15" s="7"/>
    </row>
    <row r="16" spans="1:8" ht="54" x14ac:dyDescent="0.25">
      <c r="A16" s="10" t="s">
        <v>25</v>
      </c>
      <c r="B16" s="13" t="s">
        <v>26</v>
      </c>
      <c r="C16" s="14" t="s">
        <v>3</v>
      </c>
      <c r="D16" s="8">
        <f>4*3.6</f>
        <v>14.4</v>
      </c>
      <c r="E16" s="7">
        <f>ROUNDUP(328400*1.07,-2)</f>
        <v>351400</v>
      </c>
      <c r="F16" s="12">
        <f>D16*E16</f>
        <v>5060160</v>
      </c>
      <c r="H16" s="7">
        <f>ROUNDUP(328400*1.07,-2)</f>
        <v>351400</v>
      </c>
    </row>
    <row r="17" spans="1:8" x14ac:dyDescent="0.25">
      <c r="A17" s="4">
        <v>4</v>
      </c>
      <c r="B17" s="5" t="s">
        <v>27</v>
      </c>
      <c r="C17" s="6"/>
      <c r="D17" s="8"/>
      <c r="E17" s="7"/>
      <c r="F17" s="16"/>
      <c r="H17" s="7"/>
    </row>
    <row r="18" spans="1:8" ht="27" x14ac:dyDescent="0.25">
      <c r="A18" s="10" t="s">
        <v>28</v>
      </c>
      <c r="B18" s="11" t="s">
        <v>29</v>
      </c>
      <c r="C18" s="6" t="s">
        <v>3</v>
      </c>
      <c r="D18" s="8">
        <f>23.61*4.8+11*2.5+5.5*2.5</f>
        <v>154.57799999999997</v>
      </c>
      <c r="E18" s="7">
        <v>12800</v>
      </c>
      <c r="F18" s="12">
        <f>D18*E18</f>
        <v>1978598.3999999997</v>
      </c>
      <c r="H18" s="7">
        <v>12800</v>
      </c>
    </row>
    <row r="19" spans="1:8" ht="27" x14ac:dyDescent="0.25">
      <c r="A19" s="10" t="s">
        <v>30</v>
      </c>
      <c r="B19" s="11" t="s">
        <v>31</v>
      </c>
      <c r="C19" s="6" t="s">
        <v>3</v>
      </c>
      <c r="D19" s="8">
        <v>45</v>
      </c>
      <c r="E19" s="7">
        <v>13500</v>
      </c>
      <c r="F19" s="12">
        <f>D19*E19</f>
        <v>607500</v>
      </c>
      <c r="H19" s="7">
        <v>13500</v>
      </c>
    </row>
    <row r="20" spans="1:8" ht="40.5" x14ac:dyDescent="0.25">
      <c r="A20" s="10" t="s">
        <v>9</v>
      </c>
      <c r="B20" s="11" t="s">
        <v>32</v>
      </c>
      <c r="C20" s="6" t="s">
        <v>3</v>
      </c>
      <c r="D20" s="8"/>
      <c r="E20" s="7">
        <v>10300</v>
      </c>
      <c r="F20" s="12"/>
      <c r="H20" s="7">
        <v>10300</v>
      </c>
    </row>
    <row r="21" spans="1:8" ht="27" x14ac:dyDescent="0.25">
      <c r="A21" s="4">
        <v>5</v>
      </c>
      <c r="B21" s="5" t="s">
        <v>33</v>
      </c>
      <c r="C21" s="6"/>
      <c r="D21" s="8"/>
      <c r="E21" s="7"/>
      <c r="F21" s="16"/>
      <c r="H21" s="7"/>
    </row>
    <row r="22" spans="1:8" ht="40.5" x14ac:dyDescent="0.25">
      <c r="A22" s="10" t="s">
        <v>34</v>
      </c>
      <c r="B22" s="17" t="s">
        <v>35</v>
      </c>
      <c r="C22" s="18" t="s">
        <v>0</v>
      </c>
      <c r="D22" s="19">
        <v>1</v>
      </c>
      <c r="E22" s="7">
        <v>680000</v>
      </c>
      <c r="F22" s="12">
        <f>D22*E22</f>
        <v>680000</v>
      </c>
      <c r="H22" s="7">
        <v>680000</v>
      </c>
    </row>
    <row r="23" spans="1:8" ht="94.5" x14ac:dyDescent="0.25">
      <c r="A23" s="10" t="s">
        <v>36</v>
      </c>
      <c r="B23" s="13" t="s">
        <v>37</v>
      </c>
      <c r="C23" s="14" t="s">
        <v>23</v>
      </c>
      <c r="D23" s="8">
        <v>13</v>
      </c>
      <c r="E23" s="20">
        <v>133860</v>
      </c>
      <c r="F23" s="12">
        <f>D23*E23</f>
        <v>1740180</v>
      </c>
      <c r="H23" s="20">
        <v>133860</v>
      </c>
    </row>
    <row r="24" spans="1:8" ht="40.5" x14ac:dyDescent="0.25">
      <c r="A24" s="21" t="s">
        <v>9</v>
      </c>
      <c r="B24" s="22" t="s">
        <v>38</v>
      </c>
      <c r="C24" s="23" t="s">
        <v>23</v>
      </c>
      <c r="D24" s="25"/>
      <c r="E24" s="24">
        <v>250000</v>
      </c>
      <c r="F24" s="12"/>
      <c r="H24" s="24">
        <v>250000</v>
      </c>
    </row>
    <row r="25" spans="1:8" x14ac:dyDescent="0.25">
      <c r="A25" s="4" t="s">
        <v>39</v>
      </c>
      <c r="B25" s="5" t="s">
        <v>40</v>
      </c>
      <c r="C25" s="6" t="s">
        <v>41</v>
      </c>
      <c r="D25" s="8"/>
      <c r="E25" s="7"/>
      <c r="F25" s="12"/>
      <c r="H25" s="7"/>
    </row>
    <row r="26" spans="1:8" ht="81" x14ac:dyDescent="0.25">
      <c r="A26" s="10" t="s">
        <v>42</v>
      </c>
      <c r="B26" s="13" t="s">
        <v>43</v>
      </c>
      <c r="C26" s="14" t="s">
        <v>23</v>
      </c>
      <c r="D26" s="8">
        <v>1</v>
      </c>
      <c r="E26" s="20">
        <v>480000</v>
      </c>
      <c r="F26" s="12">
        <f>D26*E26</f>
        <v>480000</v>
      </c>
      <c r="H26" s="20">
        <v>480000</v>
      </c>
    </row>
    <row r="27" spans="1:8" ht="108" x14ac:dyDescent="0.25">
      <c r="A27" s="10" t="s">
        <v>44</v>
      </c>
      <c r="B27" s="13" t="s">
        <v>45</v>
      </c>
      <c r="C27" s="14" t="s">
        <v>23</v>
      </c>
      <c r="D27" s="8">
        <v>11</v>
      </c>
      <c r="E27" s="20">
        <v>125349.99999999999</v>
      </c>
      <c r="F27" s="12">
        <f t="shared" ref="F27:F52" si="1">D27*E27</f>
        <v>1378849.9999999998</v>
      </c>
      <c r="H27" s="20">
        <v>125349.99999999999</v>
      </c>
    </row>
    <row r="28" spans="1:8" ht="189" x14ac:dyDescent="0.25">
      <c r="A28" s="10" t="s">
        <v>46</v>
      </c>
      <c r="B28" s="13" t="s">
        <v>47</v>
      </c>
      <c r="C28" s="14" t="s">
        <v>14</v>
      </c>
      <c r="D28" s="8">
        <v>15</v>
      </c>
      <c r="E28" s="20">
        <v>48700</v>
      </c>
      <c r="F28" s="12">
        <f t="shared" si="1"/>
        <v>730500</v>
      </c>
      <c r="H28" s="20">
        <v>48700</v>
      </c>
    </row>
    <row r="29" spans="1:8" ht="94.5" x14ac:dyDescent="0.25">
      <c r="A29" s="10" t="s">
        <v>48</v>
      </c>
      <c r="B29" s="13" t="s">
        <v>49</v>
      </c>
      <c r="C29" s="14" t="s">
        <v>23</v>
      </c>
      <c r="D29" s="8">
        <v>4</v>
      </c>
      <c r="E29" s="20">
        <v>16000</v>
      </c>
      <c r="F29" s="12">
        <f t="shared" si="1"/>
        <v>64000</v>
      </c>
      <c r="H29" s="20">
        <v>16000</v>
      </c>
    </row>
    <row r="30" spans="1:8" ht="54" x14ac:dyDescent="0.25">
      <c r="A30" s="10" t="s">
        <v>50</v>
      </c>
      <c r="B30" s="13" t="s">
        <v>51</v>
      </c>
      <c r="C30" s="14" t="s">
        <v>23</v>
      </c>
      <c r="D30" s="8">
        <v>30</v>
      </c>
      <c r="E30" s="20">
        <v>8700</v>
      </c>
      <c r="F30" s="12">
        <f t="shared" si="1"/>
        <v>261000</v>
      </c>
      <c r="H30" s="20">
        <v>8700</v>
      </c>
    </row>
    <row r="31" spans="1:8" ht="27" x14ac:dyDescent="0.25">
      <c r="A31" s="10" t="s">
        <v>52</v>
      </c>
      <c r="B31" s="13" t="s">
        <v>53</v>
      </c>
      <c r="C31" s="14" t="s">
        <v>23</v>
      </c>
      <c r="D31" s="8">
        <v>2</v>
      </c>
      <c r="E31" s="20">
        <v>16000</v>
      </c>
      <c r="F31" s="12">
        <f t="shared" si="1"/>
        <v>32000</v>
      </c>
      <c r="H31" s="20">
        <v>16000</v>
      </c>
    </row>
    <row r="32" spans="1:8" ht="40.5" x14ac:dyDescent="0.25">
      <c r="A32" s="10" t="s">
        <v>54</v>
      </c>
      <c r="B32" s="13" t="s">
        <v>55</v>
      </c>
      <c r="C32" s="14" t="s">
        <v>23</v>
      </c>
      <c r="D32" s="8">
        <v>2</v>
      </c>
      <c r="E32" s="20">
        <v>16000</v>
      </c>
      <c r="F32" s="12">
        <f t="shared" si="1"/>
        <v>32000</v>
      </c>
      <c r="H32" s="20">
        <v>16000</v>
      </c>
    </row>
    <row r="33" spans="1:8" ht="27" x14ac:dyDescent="0.25">
      <c r="A33" s="10" t="s">
        <v>56</v>
      </c>
      <c r="B33" s="13" t="s">
        <v>57</v>
      </c>
      <c r="C33" s="14" t="s">
        <v>14</v>
      </c>
      <c r="D33" s="8">
        <f>D28</f>
        <v>15</v>
      </c>
      <c r="E33" s="20">
        <v>13100</v>
      </c>
      <c r="F33" s="12">
        <f t="shared" si="1"/>
        <v>196500</v>
      </c>
      <c r="H33" s="20">
        <v>13100</v>
      </c>
    </row>
    <row r="34" spans="1:8" ht="27" x14ac:dyDescent="0.25">
      <c r="A34" s="10" t="s">
        <v>58</v>
      </c>
      <c r="B34" s="22" t="s">
        <v>59</v>
      </c>
      <c r="C34" s="14" t="s">
        <v>23</v>
      </c>
      <c r="D34" s="25">
        <v>1</v>
      </c>
      <c r="E34" s="24">
        <v>235000</v>
      </c>
      <c r="F34" s="12">
        <f t="shared" si="1"/>
        <v>235000</v>
      </c>
      <c r="H34" s="24">
        <v>235000</v>
      </c>
    </row>
    <row r="35" spans="1:8" x14ac:dyDescent="0.25">
      <c r="A35" s="26" t="s">
        <v>60</v>
      </c>
      <c r="B35" s="27" t="s">
        <v>61</v>
      </c>
      <c r="C35" s="28"/>
      <c r="D35" s="25"/>
      <c r="E35" s="29"/>
      <c r="F35" s="16"/>
      <c r="H35" s="29"/>
    </row>
    <row r="36" spans="1:8" ht="54" x14ac:dyDescent="0.25">
      <c r="A36" s="10" t="s">
        <v>62</v>
      </c>
      <c r="B36" s="13" t="s">
        <v>63</v>
      </c>
      <c r="C36" s="14" t="s">
        <v>23</v>
      </c>
      <c r="D36" s="8">
        <f>D30</f>
        <v>30</v>
      </c>
      <c r="E36" s="7">
        <v>68000</v>
      </c>
      <c r="F36" s="12">
        <f t="shared" si="1"/>
        <v>2040000</v>
      </c>
      <c r="H36" s="7">
        <v>68000</v>
      </c>
    </row>
    <row r="37" spans="1:8" ht="94.5" x14ac:dyDescent="0.25">
      <c r="A37" s="10" t="s">
        <v>64</v>
      </c>
      <c r="B37" s="13" t="s">
        <v>65</v>
      </c>
      <c r="C37" s="14" t="s">
        <v>14</v>
      </c>
      <c r="D37" s="8">
        <f>D33</f>
        <v>15</v>
      </c>
      <c r="E37" s="7">
        <v>37900</v>
      </c>
      <c r="F37" s="12">
        <f t="shared" si="1"/>
        <v>568500</v>
      </c>
      <c r="H37" s="7">
        <v>37900</v>
      </c>
    </row>
    <row r="38" spans="1:8" ht="40.5" x14ac:dyDescent="0.25">
      <c r="A38" s="10" t="s">
        <v>66</v>
      </c>
      <c r="B38" s="13" t="s">
        <v>67</v>
      </c>
      <c r="C38" s="14" t="s">
        <v>23</v>
      </c>
      <c r="D38" s="8">
        <f>D29</f>
        <v>4</v>
      </c>
      <c r="E38" s="7">
        <v>22000</v>
      </c>
      <c r="F38" s="12">
        <f t="shared" si="1"/>
        <v>88000</v>
      </c>
      <c r="H38" s="7">
        <v>22000</v>
      </c>
    </row>
    <row r="39" spans="1:8" ht="40.5" x14ac:dyDescent="0.25">
      <c r="A39" s="10" t="s">
        <v>68</v>
      </c>
      <c r="B39" s="13" t="s">
        <v>69</v>
      </c>
      <c r="C39" s="14" t="s">
        <v>23</v>
      </c>
      <c r="D39" s="8">
        <f>D31</f>
        <v>2</v>
      </c>
      <c r="E39" s="7">
        <v>70000</v>
      </c>
      <c r="F39" s="12">
        <f t="shared" si="1"/>
        <v>140000</v>
      </c>
      <c r="H39" s="7">
        <v>70000</v>
      </c>
    </row>
    <row r="40" spans="1:8" ht="40.5" x14ac:dyDescent="0.25">
      <c r="A40" s="10" t="s">
        <v>70</v>
      </c>
      <c r="B40" s="22" t="s">
        <v>71</v>
      </c>
      <c r="C40" s="14" t="s">
        <v>23</v>
      </c>
      <c r="D40" s="8">
        <v>2</v>
      </c>
      <c r="E40" s="7">
        <v>98000</v>
      </c>
      <c r="F40" s="12">
        <f t="shared" si="1"/>
        <v>196000</v>
      </c>
      <c r="H40" s="7">
        <v>98000</v>
      </c>
    </row>
    <row r="41" spans="1:8" ht="27" x14ac:dyDescent="0.25">
      <c r="A41" s="10" t="s">
        <v>72</v>
      </c>
      <c r="B41" s="22" t="s">
        <v>73</v>
      </c>
      <c r="C41" s="14" t="s">
        <v>23</v>
      </c>
      <c r="D41" s="8">
        <v>1</v>
      </c>
      <c r="E41" s="7">
        <v>2050000</v>
      </c>
      <c r="F41" s="12">
        <f t="shared" si="1"/>
        <v>2050000</v>
      </c>
      <c r="H41" s="7">
        <v>2050000</v>
      </c>
    </row>
    <row r="42" spans="1:8" ht="27" x14ac:dyDescent="0.25">
      <c r="A42" s="10" t="s">
        <v>74</v>
      </c>
      <c r="B42" s="22" t="s">
        <v>75</v>
      </c>
      <c r="C42" s="14" t="s">
        <v>23</v>
      </c>
      <c r="D42" s="8">
        <v>1</v>
      </c>
      <c r="E42" s="7">
        <v>950000</v>
      </c>
      <c r="F42" s="12">
        <f t="shared" si="1"/>
        <v>950000</v>
      </c>
      <c r="H42" s="7">
        <v>950000</v>
      </c>
    </row>
    <row r="43" spans="1:8" ht="27" x14ac:dyDescent="0.25">
      <c r="A43" s="4" t="s">
        <v>76</v>
      </c>
      <c r="B43" s="15" t="s">
        <v>77</v>
      </c>
      <c r="C43" s="6"/>
      <c r="D43" s="8"/>
      <c r="E43" s="7"/>
      <c r="F43" s="12"/>
      <c r="H43" s="7"/>
    </row>
    <row r="44" spans="1:8" ht="94.5" x14ac:dyDescent="0.25">
      <c r="A44" s="10" t="s">
        <v>78</v>
      </c>
      <c r="B44" s="13" t="s">
        <v>79</v>
      </c>
      <c r="C44" s="14" t="s">
        <v>23</v>
      </c>
      <c r="D44" s="8">
        <v>6</v>
      </c>
      <c r="E44" s="7">
        <v>128000</v>
      </c>
      <c r="F44" s="12">
        <f t="shared" si="1"/>
        <v>768000</v>
      </c>
      <c r="H44" s="7">
        <v>128000</v>
      </c>
    </row>
    <row r="45" spans="1:8" ht="54" x14ac:dyDescent="0.25">
      <c r="A45" s="10" t="s">
        <v>80</v>
      </c>
      <c r="B45" s="13" t="s">
        <v>81</v>
      </c>
      <c r="C45" s="14" t="s">
        <v>23</v>
      </c>
      <c r="D45" s="8">
        <v>1</v>
      </c>
      <c r="E45" s="7">
        <v>245000</v>
      </c>
      <c r="F45" s="12">
        <f t="shared" si="1"/>
        <v>245000</v>
      </c>
      <c r="H45" s="7">
        <v>245000</v>
      </c>
    </row>
    <row r="46" spans="1:8" ht="27" x14ac:dyDescent="0.25">
      <c r="A46" s="4" t="s">
        <v>82</v>
      </c>
      <c r="B46" s="5" t="s">
        <v>83</v>
      </c>
      <c r="C46" s="6"/>
      <c r="D46" s="12"/>
      <c r="E46" s="7"/>
      <c r="F46" s="12"/>
      <c r="H46" s="7"/>
    </row>
    <row r="47" spans="1:8" ht="94.5" x14ac:dyDescent="0.25">
      <c r="A47" s="10" t="s">
        <v>84</v>
      </c>
      <c r="B47" s="11" t="s">
        <v>85</v>
      </c>
      <c r="C47" s="6" t="s">
        <v>6</v>
      </c>
      <c r="D47" s="8">
        <v>1</v>
      </c>
      <c r="E47" s="7">
        <v>1637600</v>
      </c>
      <c r="F47" s="12">
        <f t="shared" si="1"/>
        <v>1637600</v>
      </c>
      <c r="H47" s="7">
        <v>1637600</v>
      </c>
    </row>
    <row r="48" spans="1:8" ht="27" x14ac:dyDescent="0.25">
      <c r="A48" s="10" t="s">
        <v>86</v>
      </c>
      <c r="B48" s="11" t="s">
        <v>87</v>
      </c>
      <c r="C48" s="6" t="s">
        <v>6</v>
      </c>
      <c r="D48" s="8">
        <v>0</v>
      </c>
      <c r="E48" s="7">
        <v>950000</v>
      </c>
      <c r="F48" s="12">
        <f t="shared" si="1"/>
        <v>0</v>
      </c>
      <c r="H48" s="7">
        <v>950000</v>
      </c>
    </row>
    <row r="49" spans="1:8" ht="27" x14ac:dyDescent="0.25">
      <c r="A49" s="4" t="s">
        <v>88</v>
      </c>
      <c r="B49" s="5" t="s">
        <v>89</v>
      </c>
      <c r="C49" s="6"/>
      <c r="D49" s="8"/>
      <c r="E49" s="7"/>
      <c r="F49" s="12"/>
      <c r="H49" s="7"/>
    </row>
    <row r="50" spans="1:8" ht="27" x14ac:dyDescent="0.25">
      <c r="A50" s="10" t="s">
        <v>90</v>
      </c>
      <c r="B50" s="11" t="s">
        <v>91</v>
      </c>
      <c r="C50" s="6" t="s">
        <v>6</v>
      </c>
      <c r="D50" s="8">
        <v>1</v>
      </c>
      <c r="E50" s="7">
        <f>450000*1.19*1.35</f>
        <v>722925</v>
      </c>
      <c r="F50" s="12">
        <f t="shared" si="1"/>
        <v>722925</v>
      </c>
      <c r="H50" s="7">
        <f>450000*1.19*1.35</f>
        <v>722925</v>
      </c>
    </row>
    <row r="51" spans="1:8" ht="27" x14ac:dyDescent="0.25">
      <c r="A51" s="10" t="s">
        <v>92</v>
      </c>
      <c r="B51" s="11" t="s">
        <v>93</v>
      </c>
      <c r="C51" s="6" t="s">
        <v>6</v>
      </c>
      <c r="D51" s="8">
        <v>1</v>
      </c>
      <c r="E51" s="7">
        <f>2300000*1.19*1.35</f>
        <v>3694950.0000000005</v>
      </c>
      <c r="F51" s="12">
        <f t="shared" si="1"/>
        <v>3694950.0000000005</v>
      </c>
      <c r="H51" s="7">
        <f>2300000*1.19*1.35</f>
        <v>3694950.0000000005</v>
      </c>
    </row>
    <row r="52" spans="1:8" ht="27" x14ac:dyDescent="0.25">
      <c r="A52" s="10" t="s">
        <v>94</v>
      </c>
      <c r="B52" s="11" t="s">
        <v>95</v>
      </c>
      <c r="C52" s="6" t="s">
        <v>23</v>
      </c>
      <c r="D52" s="8">
        <v>6</v>
      </c>
      <c r="E52" s="7">
        <f>20000*1.19*1.35</f>
        <v>32130.000000000004</v>
      </c>
      <c r="F52" s="12">
        <f t="shared" si="1"/>
        <v>192780.00000000003</v>
      </c>
      <c r="H52" s="7">
        <f>20000*1.19*1.35</f>
        <v>32130.000000000004</v>
      </c>
    </row>
    <row r="53" spans="1:8" x14ac:dyDescent="0.25">
      <c r="A53" s="10" t="s">
        <v>9</v>
      </c>
      <c r="B53" s="11" t="s">
        <v>96</v>
      </c>
      <c r="C53" s="6" t="s">
        <v>23</v>
      </c>
      <c r="D53" s="8"/>
      <c r="E53" s="7">
        <v>90000</v>
      </c>
      <c r="F53" s="12"/>
      <c r="H53" s="7">
        <v>90000</v>
      </c>
    </row>
    <row r="54" spans="1:8" x14ac:dyDescent="0.25">
      <c r="A54" s="10" t="s">
        <v>9</v>
      </c>
      <c r="B54" s="11" t="s">
        <v>97</v>
      </c>
      <c r="C54" s="6" t="s">
        <v>23</v>
      </c>
      <c r="D54" s="8"/>
      <c r="E54" s="7">
        <v>300000</v>
      </c>
      <c r="F54" s="12"/>
      <c r="H54" s="7">
        <v>300000</v>
      </c>
    </row>
    <row r="55" spans="1:8" x14ac:dyDescent="0.25">
      <c r="A55" s="4">
        <v>6</v>
      </c>
      <c r="B55" s="5" t="s">
        <v>98</v>
      </c>
      <c r="C55" s="6"/>
      <c r="D55" s="8"/>
      <c r="E55" s="30"/>
      <c r="F55" s="16"/>
      <c r="H55" s="30"/>
    </row>
    <row r="56" spans="1:8" ht="54" x14ac:dyDescent="0.25">
      <c r="A56" s="10" t="s">
        <v>99</v>
      </c>
      <c r="B56" s="11" t="s">
        <v>100</v>
      </c>
      <c r="C56" s="6" t="s">
        <v>3</v>
      </c>
      <c r="D56" s="8">
        <v>2</v>
      </c>
      <c r="E56" s="20">
        <v>13000</v>
      </c>
      <c r="F56" s="12">
        <f>D56*E56</f>
        <v>26000</v>
      </c>
      <c r="H56" s="20">
        <v>13000</v>
      </c>
    </row>
    <row r="57" spans="1:8" ht="27" x14ac:dyDescent="0.25">
      <c r="A57" s="10" t="s">
        <v>101</v>
      </c>
      <c r="B57" s="11" t="s">
        <v>102</v>
      </c>
      <c r="C57" s="6" t="s">
        <v>103</v>
      </c>
      <c r="D57" s="8">
        <v>2</v>
      </c>
      <c r="E57" s="7">
        <v>45000</v>
      </c>
      <c r="F57" s="12">
        <f>D57*E57</f>
        <v>90000</v>
      </c>
      <c r="H57" s="7">
        <v>45000</v>
      </c>
    </row>
    <row r="58" spans="1:8" ht="40.5" x14ac:dyDescent="0.25">
      <c r="A58" s="10" t="s">
        <v>104</v>
      </c>
      <c r="B58" s="11" t="s">
        <v>105</v>
      </c>
      <c r="C58" s="6" t="s">
        <v>6</v>
      </c>
      <c r="D58" s="8">
        <v>1</v>
      </c>
      <c r="E58" s="7">
        <f>458000*3/4</f>
        <v>343500</v>
      </c>
      <c r="F58" s="12">
        <f>D58*E58</f>
        <v>343500</v>
      </c>
      <c r="H58" s="7">
        <f>458000*3/4</f>
        <v>343500</v>
      </c>
    </row>
    <row r="59" spans="1:8" ht="94.5" x14ac:dyDescent="0.25">
      <c r="A59" s="10" t="s">
        <v>106</v>
      </c>
      <c r="B59" s="31" t="s">
        <v>107</v>
      </c>
      <c r="C59" s="14" t="s">
        <v>108</v>
      </c>
      <c r="D59" s="8">
        <v>4</v>
      </c>
      <c r="E59" s="7">
        <v>75000</v>
      </c>
      <c r="F59" s="12">
        <f>D59*E59</f>
        <v>300000</v>
      </c>
      <c r="H59" s="7">
        <v>75000</v>
      </c>
    </row>
    <row r="60" spans="1:8" ht="40.5" x14ac:dyDescent="0.25">
      <c r="A60" s="10"/>
      <c r="B60" s="11" t="s">
        <v>109</v>
      </c>
      <c r="C60" s="14" t="s">
        <v>6</v>
      </c>
      <c r="D60" s="8"/>
      <c r="E60" s="7"/>
      <c r="F60" s="12"/>
      <c r="H60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2026-06-07T04:31:13Z</dcterms:created>
  <dcterms:modified xsi:type="dcterms:W3CDTF">2026-06-07T05:02:20Z</dcterms:modified>
</cp:coreProperties>
</file>