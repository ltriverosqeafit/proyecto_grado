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"/>
    </mc:Choice>
  </mc:AlternateContent>
  <xr:revisionPtr revIDLastSave="0" documentId="8_{37A28452-1AFB-4452-BB24-1825E7F551B7}" xr6:coauthVersionLast="47" xr6:coauthVersionMax="47" xr10:uidLastSave="{00000000-0000-0000-0000-000000000000}"/>
  <bookViews>
    <workbookView xWindow="14295" yWindow="0" windowWidth="14610" windowHeight="15585" xr2:uid="{7C7A71B2-6F36-443C-9FE3-16CC36B2A5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D130" i="1"/>
  <c r="D129" i="1"/>
  <c r="F128" i="1"/>
  <c r="F127" i="1"/>
  <c r="F126" i="1"/>
  <c r="E125" i="1"/>
  <c r="F124" i="1"/>
  <c r="F123" i="1"/>
  <c r="F122" i="1"/>
  <c r="F121" i="1"/>
  <c r="E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E70" i="1"/>
  <c r="F67" i="1"/>
  <c r="F66" i="1"/>
  <c r="F65" i="1"/>
  <c r="F64" i="1"/>
  <c r="D63" i="1"/>
  <c r="D62" i="1"/>
  <c r="F61" i="1"/>
  <c r="F60" i="1"/>
  <c r="F59" i="1"/>
  <c r="F58" i="1"/>
  <c r="D56" i="1"/>
  <c r="F55" i="1"/>
  <c r="F54" i="1"/>
  <c r="F53" i="1"/>
  <c r="D52" i="1"/>
  <c r="F51" i="1"/>
  <c r="F49" i="1"/>
  <c r="F48" i="1"/>
  <c r="F47" i="1"/>
  <c r="F45" i="1"/>
  <c r="F43" i="1"/>
  <c r="F42" i="1"/>
  <c r="D41" i="1"/>
  <c r="F39" i="1"/>
  <c r="F38" i="1"/>
  <c r="F37" i="1"/>
  <c r="F36" i="1"/>
  <c r="E35" i="1"/>
  <c r="D35" i="1"/>
  <c r="D34" i="1"/>
  <c r="F32" i="1"/>
  <c r="F31" i="1"/>
  <c r="F30" i="1"/>
  <c r="F29" i="1"/>
  <c r="F28" i="1"/>
  <c r="F26" i="1"/>
  <c r="F25" i="1"/>
  <c r="F24" i="1"/>
  <c r="F23" i="1"/>
  <c r="F22" i="1"/>
  <c r="F21" i="1"/>
  <c r="D20" i="1"/>
  <c r="F18" i="1"/>
  <c r="D17" i="1"/>
  <c r="F16" i="1"/>
  <c r="F15" i="1"/>
  <c r="F14" i="1"/>
  <c r="F13" i="1"/>
  <c r="F11" i="1"/>
  <c r="F10" i="1"/>
  <c r="D9" i="1"/>
  <c r="F8" i="1"/>
  <c r="D7" i="1"/>
  <c r="D6" i="1"/>
  <c r="F5" i="1"/>
  <c r="F4" i="1"/>
  <c r="D3" i="1"/>
  <c r="F27" i="1" l="1"/>
  <c r="F125" i="1"/>
  <c r="F116" i="1"/>
  <c r="D68" i="1"/>
  <c r="F68" i="1" s="1"/>
  <c r="F52" i="1"/>
  <c r="F6" i="1"/>
  <c r="F62" i="1"/>
  <c r="D46" i="1"/>
  <c r="F46" i="1" s="1"/>
  <c r="F44" i="1" s="1"/>
  <c r="D40" i="1"/>
  <c r="F40" i="1" s="1"/>
  <c r="F34" i="1"/>
  <c r="F9" i="1"/>
  <c r="F7" i="1"/>
  <c r="D57" i="1"/>
  <c r="F57" i="1" s="1"/>
  <c r="F130" i="1"/>
  <c r="E117" i="1"/>
  <c r="F70" i="1"/>
  <c r="F69" i="1" s="1"/>
  <c r="F63" i="1"/>
  <c r="F56" i="1"/>
  <c r="F41" i="1"/>
  <c r="F35" i="1"/>
  <c r="F20" i="1"/>
  <c r="F19" i="1" s="1"/>
  <c r="F17" i="1"/>
  <c r="F12" i="1" s="1"/>
  <c r="F3" i="1"/>
  <c r="F129" i="1"/>
  <c r="F117" i="1" l="1"/>
  <c r="E118" i="1"/>
  <c r="F33" i="1"/>
  <c r="F50" i="1"/>
  <c r="F118" i="1" l="1"/>
  <c r="E119" i="1"/>
  <c r="F119" i="1" l="1"/>
  <c r="F103" i="1" s="1"/>
  <c r="E120" i="1"/>
  <c r="F12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257A482C-0220-4C84-B41B-F837C26209C4}">
      <text>
        <r>
          <rPr>
            <sz val="11"/>
            <color theme="1"/>
            <rFont val="Aptos Narrow"/>
            <family val="2"/>
            <scheme val="minor"/>
          </rPr>
          <t>======
ID#AAAA6spMLhw
Erik Durfay Ricaurte Castillo    (2023-09-25 20:41:48)
Unidad de medida del item a contratar</t>
        </r>
      </text>
    </comment>
  </commentList>
</comments>
</file>

<file path=xl/sharedStrings.xml><?xml version="1.0" encoding="utf-8"?>
<sst xmlns="http://schemas.openxmlformats.org/spreadsheetml/2006/main" count="379" uniqueCount="214">
  <si>
    <t>PRELIMINARES</t>
  </si>
  <si>
    <t xml:space="preserve">Localización y replanteo (revalidación de medidas comparadas con los planos) </t>
  </si>
  <si>
    <t>m2</t>
  </si>
  <si>
    <t xml:space="preserve">Conexión de provisional a tablero eléctrico existente al interior del local </t>
  </si>
  <si>
    <t xml:space="preserve">Gl. </t>
  </si>
  <si>
    <t>Instalación de iluminación provisional interna de obra</t>
  </si>
  <si>
    <t>Suministro e instalación de cerramiento provisional autoportante en Superboard a una cara H:4,32m con estructura cada 60cm (Incluye desmonte cuando finalice la obra, puerta en medidas enviadas por planos, refuerzo de madera, bisagras, cadena, retiro de material con interaseo y candado)</t>
  </si>
  <si>
    <t xml:space="preserve">Demolición de piso en porcelanato 3cm, barra, techos y piso bodega interna  (Incluye trasiego y deposición de materiales con empresa autorizada por Opain (Interaseo). Se exigirán certificaciones emitidas por interaseo por cada deposición de material que se realice. </t>
  </si>
  <si>
    <t xml:space="preserve">Señalización de obra con Colombinas, cinta peligro (a tres bandas), avisos de sendero peatonal (0,60x0,40), bastones para hombre guía. (para descargues de material y actividades fuera del local). Se puede emplear durante el transcurso de la obra. </t>
  </si>
  <si>
    <t xml:space="preserve">Scanner con Georradar para ejecutar pases en placa (Incluye servicio de escaneo, informe con las zonas viables para perforar y abertura de orificios con saca núcleos, con contratista autorizado opain) </t>
  </si>
  <si>
    <t xml:space="preserve">Regatas en placa maciza aprobadas por scanner georradar </t>
  </si>
  <si>
    <t xml:space="preserve">Perforaciones con saca núcleos de 1" aprobadas por escáner georradar. </t>
  </si>
  <si>
    <t>UN</t>
  </si>
  <si>
    <t>PISOS</t>
  </si>
  <si>
    <t xml:space="preserve">Lámina de superboard perimetral para costados de placa elevada. </t>
  </si>
  <si>
    <t>ml</t>
  </si>
  <si>
    <t>Cargue de sobre piso en mortero 1:4 con espesor de 1cm, incluye afinado y alistado para enchape.</t>
  </si>
  <si>
    <t>Suministro e instalación de media caña en resina de incrustar a 5cm perimetral de pisos (incluye esquineros, rinconeros, llenado interno con pega,  sellado en silicona superior e inferior, estucado, lijado y acabado en pintura epóxica blanca)</t>
  </si>
  <si>
    <t xml:space="preserve">Suministro e instalación de guarda escobas metálico perimetral al módulo de operaciones a sobre piso tipo Metal Dorado estelar 22210 Pintuco acabado metalizado electrostática, Zona operaciones Incluye hermetización y elementos de fijación e instalación </t>
  </si>
  <si>
    <t xml:space="preserve">Dilataciones a 1 cm (Incluye cola ratón, Relleno con Sikadur 51 SL Plus Gris) </t>
  </si>
  <si>
    <t xml:space="preserve">Suministro e instalación de poyo en concreto para caja fuerte. Según especificación y manuales de instalación para caja fuerte.  (anclado al superboard) </t>
  </si>
  <si>
    <t xml:space="preserve">un </t>
  </si>
  <si>
    <t xml:space="preserve">ENCHAPES </t>
  </si>
  <si>
    <t xml:space="preserve">Suministro e instalación de enchape de piso porcelanato ref. Amostra khali greige Novarcillas de 1.20x0.60 junta 3mm trabado 15% acabado satinado (incluye pega, boquilla epóxica Alfaquick #100, limpieza y sellado).  </t>
  </si>
  <si>
    <t xml:space="preserve">Suministro e instalación de enchape de piso porcelanato ref. One terrazo 1.20 x 0.60 Decorcerámica junta corrida vertical acabado mate (Incluye pega, boquilla lavable, limpieza y sellado). </t>
  </si>
  <si>
    <t xml:space="preserve">Suministro e instalación de enchape de piso porcelanato ref. Essential Taupe 0.75 x 1.50 Attmoaferas junta corrida vertical, acabado mate (Incluye pega, boquilla lavable, limpieza y sellado). </t>
  </si>
  <si>
    <t xml:space="preserve">Suministro e instalación de dilatador de porcelanato en aluminio color bronce de 1cm de espesor (Incluye sellado, boquilla y todos los elementos necesarios para su correcta instalación). </t>
  </si>
  <si>
    <t xml:space="preserve">Suministro e instalación de enchape de muros cerámica Brick Vivant Ligne blanco decorcerámica junta vertical, acabado esmaltado (Incluye sellado, boquilla, rayado de muro y pega). </t>
  </si>
  <si>
    <t xml:space="preserve">m2 </t>
  </si>
  <si>
    <t xml:space="preserve">Suministro e instalación de enchape de muros cerámica Brick Vivant Ligne Greige decorcerámica junta vertical, acabado esmaltado (Incluye sellado, boquilla, rayado de muro y pega). </t>
  </si>
  <si>
    <t xml:space="preserve">Enchape 20x20 bajo barra incluye rayado de muro, pega, boquilla y esquineros en acero </t>
  </si>
  <si>
    <t xml:space="preserve">CIELO RASO  </t>
  </si>
  <si>
    <t xml:space="preserve">Cielo raso en dry-wall bodega, con estructura cada 60 cm (24"), perfilería rolada calibre 24, lámina de panel yeso de 1/2"; acabado con tratamiento para juntas indicado; incluye acabado y tres manos de pintura a base de aceite lavable. </t>
  </si>
  <si>
    <t>Cielo raso en drywall barra, con estructura cada 60 cm (24"), perfilería rolada calibre 24, lámina de panel yeso de 1/2", acabado con tratamiento de juntas indicado; incluye acabado Microcemento Blanco Natural NE157P Ecocomenti Texturizado (Mezclar ambos materiales para lograr un tono igual al del Wrap Up)</t>
  </si>
  <si>
    <t>Cielo raso en lobby, con estructura cada 60 cm (24"), perfilería rolada calibre 24, lámina de panel yeso de 1/2", acabado con tratamiento de juntas indicado; incluye acabado Microcemento Blanco Natural NE157P Ecocomenti Texturizado (Mezclar ambos materiales para lograr un tono igual al del Wrap Up)</t>
  </si>
  <si>
    <t>Dintel en drywall barra, acabado fórmica country side OAK 1533 con estructura cada 60 cm (24''), perfilería rolada calibre 24, lámina de panel yeso de 1/2'', acabado con tratamiento de juntas indicado.</t>
  </si>
  <si>
    <t>Suministro e instalación de listones en madera triangulares según planimetría y Wrap up para techo acabado fórmica Country side Oak 1533 (Incluye desmonte de palillaje existente, cambio y todos los elementos necesarios para su correcto montaje)</t>
  </si>
  <si>
    <t>MUROS, DRY WALL y SUPER BOARD</t>
  </si>
  <si>
    <t xml:space="preserve">Muro en Superboard espesor hasta 0,15m. 2 caras, con estructura cada 61 cm (24"), perfilería rolada calibre 26, lámina de fibrocemento de 1/2"; acabado con tratamiento para juntas; Incluye tapas, filos y dilataciones </t>
  </si>
  <si>
    <t xml:space="preserve">Muro en Superboard espesor hasta 0,15m. 1 cara, con estructura cada 61 cm (24"), perfilería rolada calibre 26, lámina de fibrocemento de 1/2"; acabado con tratamiento para juntas; Incluye tapas, filos y dilataciones </t>
  </si>
  <si>
    <t xml:space="preserve">Acabado con Microcemento Blanco Natural NE157P Ecocementi Texturizado en muros (Incluye Mate barnizado y mano de vinilo acrílico después de que el artista termine el arte) </t>
  </si>
  <si>
    <t xml:space="preserve">Suministro e instalación de ovalo para pantallas en superboard espesor hasta 0,15cm 1 cara con bordes metálicos en dorado estelar 22210 electrostática según planos y referencia wrap up. </t>
  </si>
  <si>
    <t>Suministro e instalación de botones de fumigación grival en muros y muebles. (Incluye hermeticidad en todas sus esquinas)</t>
  </si>
  <si>
    <t>und</t>
  </si>
  <si>
    <t xml:space="preserve">Suministro e instalación de tapas de fumigación de 10x10 en muros y muebles. (Incluye hermeticidad en todas sus esquinas). </t>
  </si>
  <si>
    <t>Suministro e instalación de Microcemento al natural + AL Natural NE127P Ecocementi en muros (según especificaciones de wrap up).</t>
  </si>
  <si>
    <t>Suministro e instalación de imprimante pva 2 manos para muro en arte (se aplica una vez el artista haya terminado de pintar)</t>
  </si>
  <si>
    <t xml:space="preserve">Suministro e instalación de esquineros metálicos dorado estelar 22210 electrostática </t>
  </si>
  <si>
    <t>un</t>
  </si>
  <si>
    <t xml:space="preserve">Suministro e instalación de refuerzos en madera para instalación de pantallas. </t>
  </si>
  <si>
    <t xml:space="preserve">BODEGA INTERNA </t>
  </si>
  <si>
    <t>Suministro e instalación de refuerzo en madera maciza en pórtico para instalación de puerta</t>
  </si>
  <si>
    <t xml:space="preserve">Suministro de pintura base de aceite lavable blanca para muros y techos en bodega </t>
  </si>
  <si>
    <t xml:space="preserve">Suministro e instalación de extractor de olores industrial de 15" en techo, incluye marcos, angeo y demás elementos para su correcta instalación (Dejar interruptor independiente por cada cuarto donde se ubiquen los extractores) </t>
  </si>
  <si>
    <t>Un</t>
  </si>
  <si>
    <t xml:space="preserve">Suministro e instalación de panel hermético led redondo de incrustar para cielorraso (Incluye todos los elementos necesarios para su instalación y montaje) </t>
  </si>
  <si>
    <t xml:space="preserve">Suministro e instalación de puerta con hoja batiente empotrada en muro 1x2,20m Acabado: palillaje enchapado en fórmica Countryside Oak 1533, cara interna en acero con rejilla de ventilación en la parte inferior, Medidas según planos de diseño y acabados según Wrap up. </t>
  </si>
  <si>
    <t xml:space="preserve">BODEGA DENTRO DEL AEROPUERTO </t>
  </si>
  <si>
    <t xml:space="preserve">Reparación de puerta panel 90cm , batiente mas chapa (Incluye cambio de espuma para hermeticidad, mantenimiento de chapas y cerraduras) </t>
  </si>
  <si>
    <t xml:space="preserve">Demolición de enchape existente en muros. (Incluye recolección y deposición con interaseo) </t>
  </si>
  <si>
    <t xml:space="preserve">Demolición de cielorraso existente (Incluye recolección y deposición con interaseo) </t>
  </si>
  <si>
    <t>Aseo y mantenimiento de red contra incendios existente</t>
  </si>
  <si>
    <t>GL</t>
  </si>
  <si>
    <t>Suministro e instalación de pintura industrial TRAFICO para pisos , 3manos</t>
  </si>
  <si>
    <t xml:space="preserve">Pintura para muros en esmalte blanco lavable x 2 manos (incluye muros y cielorraso) </t>
  </si>
  <si>
    <t>sellamiento de ductos y huecos en pared con poliuretano expansivo</t>
  </si>
  <si>
    <t xml:space="preserve">Desmonte de lámparas existentes (Incluye trasiego y deposición) </t>
  </si>
  <si>
    <t>Suministro e instalación de lámparas tipo panel Led de 60x60</t>
  </si>
  <si>
    <t xml:space="preserve">Sello hermético y cambio de tomacorrientes existentes </t>
  </si>
  <si>
    <t>Retiro de zócalo y demolición en la base para incrustar media caña</t>
  </si>
  <si>
    <t>ML</t>
  </si>
  <si>
    <t>Suministro e instalación de media caña en resina , con terminación en pintura de tráfico</t>
  </si>
  <si>
    <t>Sellos herméticos en tomas con silicona antihongos</t>
  </si>
  <si>
    <t xml:space="preserve">Suministro e instalación de extractor de olores industrial de 15" en techo, incluye marcos, angeo y demás elementos para su correcta instalación </t>
  </si>
  <si>
    <t xml:space="preserve">Movimiento de rociadores de red contra incendios (Incluye tramite y adecuación ejecutada por Jhonson Controls) </t>
  </si>
  <si>
    <t xml:space="preserve">Movimiento de detector red contra incendios (Incluye trámite y adecuación ejecutada por Jhonson Controls) </t>
  </si>
  <si>
    <t xml:space="preserve">Aseo, limpieza y deposición de basura en obra </t>
  </si>
  <si>
    <t xml:space="preserve">ESTRUCTURA </t>
  </si>
  <si>
    <t xml:space="preserve">Suministro e instalación de estructura para cajón en vidrio templado con marcos para montaje de Macramé montañas encapsulado. Deben ir encapsulado en vidrio templado de 5mm por delante y por detrás. (Coordinar instalación con fabricante del macramé) </t>
  </si>
  <si>
    <t>M2</t>
  </si>
  <si>
    <t>INSTALACIONES HIDROSANITARIAS</t>
  </si>
  <si>
    <t>Tubería PVC presión rde-9 ø1/2"  marca Pavco o gerfor</t>
  </si>
  <si>
    <t>Accesorio  ø1/2" marca Pavco o gerfor</t>
  </si>
  <si>
    <t>Registro de ø1/2" roscado</t>
  </si>
  <si>
    <t>Racor de 1/2" npt hembra X 3/8" npt macho</t>
  </si>
  <si>
    <t>Punto h -  a.f.  pvc-p gerfor o pavco 1/2"</t>
  </si>
  <si>
    <t>Tubería pvc presión rde-9 ø1/2"  marca pavco o gerfor</t>
  </si>
  <si>
    <t>Accesorio  ø1/2" marca pavco o gerfor</t>
  </si>
  <si>
    <t>s.s. pvc sanitaria gerfor o pavco  ø2"</t>
  </si>
  <si>
    <t xml:space="preserve">s.s. sifón de 2" </t>
  </si>
  <si>
    <t>Tubería pvc sanitaria ø3" pavco o gerfor</t>
  </si>
  <si>
    <t>Tubería pvc sanitaria ø2" pavco o gerfor</t>
  </si>
  <si>
    <t>Accesorio  ø3" pavco o gerfor</t>
  </si>
  <si>
    <t>Accesorio  ø2" pavco o gerfor</t>
  </si>
  <si>
    <t>Suministro e instalación de caja lavadora (incluye sellado de orificios que no se vayan a usar, bujes en caucho para garantizar hermeticidad y reducciones en pvc según mangueras de equipos)</t>
  </si>
  <si>
    <t>Suministro e instalación de tapa registro 15x15 (incluye sticker fumigación y hermeticidad con sika en laterales)</t>
  </si>
  <si>
    <t>Suministro e instalación de tapón decorativo grival (incluye hermeticidad con sika en laterales)</t>
  </si>
  <si>
    <t>Suministro e instalación de rejilla anticucharacha 3x2" en piso marca grival</t>
  </si>
  <si>
    <t>Suministro e instalación de llave jardín 1/2" galvanizada marca grival (incluye acoples, terminales, pegante y demás accesorios requeridos para correcta instalación)</t>
  </si>
  <si>
    <t>Suministro e instalación de llave de agua filtrada  (incluye acoples, terminales, pegante y demás accesorios requeridos para correcta instalación)</t>
  </si>
  <si>
    <t>Suministro e instalación de llave sensor para lavaplatos  (incluye acoples, terminales, pegante y demás accesorios requeridos para correcta instalación)</t>
  </si>
  <si>
    <t>Instalación de coldrink triple (incluye acoples, pegante, mangueras y demás accesorios requeridos para correcta instalación)</t>
  </si>
  <si>
    <t xml:space="preserve">Mantenimiento correctivo de pozo eyector existente, incluye limpieza, reforzamiento en acero, cambio de tapas en acero con superficie antideslizante, sellos anti olor, sellos de goma  y cambio de bombas eyectoras (Incluye tablero para controlar la activación de las bombas eyectoras).  </t>
  </si>
  <si>
    <t xml:space="preserve">Suministro e instalación cuelga traperos para poceta </t>
  </si>
  <si>
    <t>APARATOS SANITARIOS,  GRIFERIAS Y ACCESORIOS</t>
  </si>
  <si>
    <t>Suministro e instalación de llave de jardín 1/2" para lava traperos</t>
  </si>
  <si>
    <t>Suministro e instalación de llave sensor para lavamanos (incluye acoples, terminales, pegante y demás accesorios requeridos para correcta instalación)</t>
  </si>
  <si>
    <t xml:space="preserve">Instalación de filtro everpure triple (Incluye accesorios para montaje y los elementos necesarios para un correcto funcionamiento. (Artefacto suministrado por Procafecol, el contratista se encargará solo de su instalación). </t>
  </si>
  <si>
    <t>INSTALACIONES ELECTRICAS</t>
  </si>
  <si>
    <t xml:space="preserve">Salida para Spot doble </t>
  </si>
  <si>
    <t>Salida para iluminación hermética</t>
  </si>
  <si>
    <t xml:space="preserve">Salida para iluminación larga en barra </t>
  </si>
  <si>
    <t xml:space="preserve">UN </t>
  </si>
  <si>
    <t xml:space="preserve">Salida para Aviso </t>
  </si>
  <si>
    <t>Salida para iluminación de muro</t>
  </si>
  <si>
    <t xml:space="preserve">Salida para iluminación led descolgada </t>
  </si>
  <si>
    <t>Salida para lámpara descolgada ILU04</t>
  </si>
  <si>
    <t>Salida para iluminación de emergencia</t>
  </si>
  <si>
    <t xml:space="preserve">Salidas para iluminación de montañas </t>
  </si>
  <si>
    <t xml:space="preserve">Salida para Interruptor Doble, incluye tubería PVC diámetro de ½", cable 12 AWG tipo THHN, caja 5800, Interruptor Doble Línea Decora - Levitón, tapa y accesorios.(Marquillada) </t>
  </si>
  <si>
    <t xml:space="preserve">Salida para Toma Corriente Doble con Polo a Tierra 15A 125V Línea Decora Blanca marca LEVITON con Tapa Metálica para ser instaladas en los congeladores, refrigeradores y cajas registradoras.(Marquillada) </t>
  </si>
  <si>
    <t xml:space="preserve">Salida para Toma Corriente Doble con Polo a Tierra 15A 125V Línea Decora Blanca tipo GFCI marca LEVITON con Tapa Metálica para ser instaladas en Zonas donde se pueda presentar humedad (Marquillada) </t>
  </si>
  <si>
    <t>Salida para Sensor Lavamanos</t>
  </si>
  <si>
    <t xml:space="preserve">Salida para Sensor Lava platos </t>
  </si>
  <si>
    <t xml:space="preserve">Salida para Extractores en techo </t>
  </si>
  <si>
    <t>Salida para extractores en barra</t>
  </si>
  <si>
    <t xml:space="preserve">Suministro e instalación de extractores en barra de 11" (Incluye marco, sello hermético y angeo, junto con todos sus elementos necesarios para montaje). </t>
  </si>
  <si>
    <t>Salida para Toma Corriente Doble con Polo a Tierra 15A 125V Color Naranja con Tapa; para ser instaladas en el Sistema Regulado será la REF: 5262-IG LEVITON</t>
  </si>
  <si>
    <t>Salida Toma corriente Bifásica (Maquina Espresso) (2F#10+1T#10) Incluye Toma Toma Sencilla Incrustar 30AMP 125V 2F + T  REF: L530-R</t>
  </si>
  <si>
    <t>Salida Toma corriente Bifásica [Vitrina Pastelera - Molino Kryo (x2)] (2F#12+1T#12)  Incluye Toma 3X20A Marca Codelca</t>
  </si>
  <si>
    <t>Salida Toma Corriente Trifásica (Horno Combi) Incluye Toma de Incrustar L14-30R la Clavija será suministrada por el proveedor de Maquina.</t>
  </si>
  <si>
    <t xml:space="preserve">Salida Toma Corriente Bifásica (VTA6S) Incluye Toma de Incrustar marca Codelca </t>
  </si>
  <si>
    <t xml:space="preserve">Salida Toma Corriente Trifásica (Horno Turbochef) </t>
  </si>
  <si>
    <t>Salida Toma Corriente para alimentación y Salida UPS de tipo Monofásica, Incluye Toma L530-R y Clavija L530-P</t>
  </si>
  <si>
    <t>Suministro e instalación de Luminaria Led de Emergencia tipo aplique para uso interior, con diseño compacto basado en módulos led lineales REF: P26848 Sylvania, Potencia Led 4W, tensión de operación 120-277v con autonomía de 90 min.</t>
  </si>
  <si>
    <t>Suministro de Accesorios y elementos necesarios para la Instalación de Lámparas</t>
  </si>
  <si>
    <t>Suministro de Accesorios y elementos necesarios para la Instalación de Extractores</t>
  </si>
  <si>
    <t>Tablero General Sistema Red Normal [TGN]. Tablero del Tipo Enchufable Trifásico de 30 circuitos CON espacio para Totalizar. Con Tapa, Puerta y Chapa; marca certificada Sugerida LEGRAND REF: TWC-30MBO / SCHNEIDER REF: NTQ-430-T-SQ / TERCOL TRP330T</t>
  </si>
  <si>
    <t>Tablero monofásico para interruptores Riel DIN de 6 Circuitos; marca certificada Sugerida SCHNEIDER REF: ZA000611033 / CILES REF: 730301U / PROELECTRICOS REF: 3231E04046</t>
  </si>
  <si>
    <t>Breakers Industrial Fijo Termomagnético de 3x60A 208V, 25kA, para Totalizador Tablero Eléctrico [TN]; Según Referencias REF: 027006 LEGRAND / REF: EZC100B3050 SCHNEIDER / 1SDA066516R1 ABB.</t>
  </si>
  <si>
    <t>Breakers Enchufable 3x30A 208V, 10kA (Ref.: DSE-3030 si el Tablero es LEGRAND y Ref.: HOM330 si el Tablero es SCHNEIDER y ITM330 Blanco si el Tablero es TERCOL )</t>
  </si>
  <si>
    <t>Breakers Enchufable 2x30A 208V, 10kA (Ref.: DSE-2030 si el Tablero es LEGRAND y Ref.: HOM230 si el Tablero es SCHNEIDER y ITM230 Blanco si el Tablero es TERCOL )</t>
  </si>
  <si>
    <t>Breakers Enchufable 2x20A 208V, 10kA (Ref.: DSE-2020 si el Tablero es LEGRAND y Ref.: HOM220 si el Tablero es SCHNEIDER y ITM220 Blanco si el Tablero es TERCOL )</t>
  </si>
  <si>
    <t>Breakers Enchufable 1x30A 208V, 10kA (Ref.: DSE-1030 si el Tablero es LEGRAND y Ref.: HOM130 si el Tablero es SCHNEIDER y ITM130 Blanco si el Tablero es TERCOL )</t>
  </si>
  <si>
    <t>Breakers Enchufable 1x20A 208V, 10kA (Ref.: DSE-1020 si el Tablero es LEGRAND y Ref.: HOM120 si el Tablero es SCHNEIDER y ITM120 Blanco si el Tablero es TERCOL )</t>
  </si>
  <si>
    <t>Breakers Diferencial de 2 Polos, Posición del Neutro a la Izquierda, Corriente nominal (In) 25A sensibilidad ante fugas a tierra 30 mA Ref.: 411504 LEGRAND;  Ref.: A9R61225 SCHNEIDER; Ref.: 302600179 CHINT y Ref.: SDR22530 STECK</t>
  </si>
  <si>
    <t>Mini Interruptor Automáticos Tipo MCB (Mini Circuito Breakers), Capacidad De Ruptura 10 Ka, Protección Termo magnética de 1x20A; REF: BKJ63N 1P C20 / ITM115 / 407671 LEGRAND</t>
  </si>
  <si>
    <t>DPS HOMELINE 120V -20kA Tipo Enchufable HOM120SB - SCHNEIDER</t>
  </si>
  <si>
    <t>Certificación RETIE de Instalaciones Eléctricas ante Organismo Acreditado por la ONAC</t>
  </si>
  <si>
    <t>GLB</t>
  </si>
  <si>
    <t>1Ø1" PVC</t>
  </si>
  <si>
    <t>1Ø1¼" PVC</t>
  </si>
  <si>
    <t>Instalaciones Datos  - Sonido y CCTV - Cableado Estructurado- Mueble Rack</t>
  </si>
  <si>
    <t xml:space="preserve">Salida Para Datos Doble en Categoría 6a; ortronix o panduit  Incluye Tubería de 1"; ¾" PVC - EMT, Caja Metálica Ref. 2400 (4"X4"), Cable UTP Cat 6a legrand o panduit </t>
  </si>
  <si>
    <t xml:space="preserve">Salida Para Datos Sencilla en Categoría 6a; ortronix o panduit  Incluye Tubería De 3/4" EMT, Caja Metálica Ref. 2400 (4"X4"), Cable UTP Cat 6a legrand o panduit </t>
  </si>
  <si>
    <t>Suministro e Instalación de Gabinete Rack de Pared de Tapas laterales removibles GT-2189 - 14U (Alto: 684 mm, Ancho: 525 mm, Fondo: 510 mm</t>
  </si>
  <si>
    <t>Herraje plano Categoría 6 o 6A - 24 Puertos legrand o panduit</t>
  </si>
  <si>
    <t xml:space="preserve">Conector Jack RJ45, Categoría 6 legrand o panduit </t>
  </si>
  <si>
    <t>Face Plate Doble Blanco, Incluye Tapa Espacio legrand o panduit ; Incluye Tapa Espacio</t>
  </si>
  <si>
    <t xml:space="preserve">Suministro e Instalación en Rack de Patch Cords Categoría 6 UTP Color Azul de 50cms ortronix o panduit </t>
  </si>
  <si>
    <t xml:space="preserve">Suministro e Instalación en Rack de Patch Cords Categoría 6 UTP Color Azul de 1,5 mts ortronix o panduit </t>
  </si>
  <si>
    <t>Suministro y Conexión de Swich Web Smart Gigabit de 24 Puertos con 4 Puertos Gigabit Y 2 Ranuras Mini- Gbic Teg-424ws (V1.0r)</t>
  </si>
  <si>
    <t>Suministro de MultiToma Horizontal con 6 salidas eléctricas con Polo Aislado a Tierra para ser Instalada en el Rack con Interruptor Piloto</t>
  </si>
  <si>
    <t>Organizador de Cables Horizontal para Rack 1U</t>
  </si>
  <si>
    <t>Certificación LEGRAND o PANDUIT para cada punto de red</t>
  </si>
  <si>
    <t xml:space="preserve">Conexión a colocation realizada por jhonson controls o contec </t>
  </si>
  <si>
    <t>gl</t>
  </si>
  <si>
    <t xml:space="preserve">Conexión a racks realizada por jhonson controls o contec </t>
  </si>
  <si>
    <t xml:space="preserve">Tramite de generación de nuevas marquillas para puntos de red y conexión a rack colocation con el aeropuerto. </t>
  </si>
  <si>
    <t>Marcación y Certificación de Puntos Datos &amp; Datos</t>
  </si>
  <si>
    <t>ILUMINACION</t>
  </si>
  <si>
    <t xml:space="preserve">Suministro e instalación de lampara tipo spot ILU01doble de incrustar según referencia wrap up a 4500k (Incluye todos los accesorios necesarios para su montaje). </t>
  </si>
  <si>
    <t xml:space="preserve">Suministro e instalación de aplique led de muro ILU02 doble 3500k según referencia de wrap up (incluye todos los elementos necesarios para su montaje). </t>
  </si>
  <si>
    <t>Suministro e instalación de lámpara decorativa ILU03 colgante según referencia wrap up a 3500k LA CAPERUZA SERÁ SUMINISTRADA POR LIANA incluye la instalación de esta, la luminaria es solo bombillo y cable descolgante (Incluye todos los elementos y accesorios necesarios para su montaje)</t>
  </si>
  <si>
    <t xml:space="preserve">Suministro e instalación de Luminiaria lineal led de barra largo 2,50 </t>
  </si>
  <si>
    <t xml:space="preserve">Suministro e instalación de lineal led en lámpara decorativa ILU04 EL TEJIDO SERÁ SUMINISTRADO POR LIANA se deberá coordinar la instalación de la luminaria con ellos y realizar el montaje de la lámpara. </t>
  </si>
  <si>
    <t xml:space="preserve">Suministro e instalación de aplique led de emergencia, incluye todos los accesorios necesarios para su correcto montaje. </t>
  </si>
  <si>
    <t>DISEÑO DETECCION</t>
  </si>
  <si>
    <t xml:space="preserve">Suministro, transporte e instalación de detector de temperatura inteligente, direccionable, (detector de aumento de tasa de calor), marca Simplex referencia 4098-9733. Incluye base estándar para detector. Se debe ejecutar con Jhonson Controls empresa autorizada por Opain </t>
  </si>
  <si>
    <t xml:space="preserve">Suministro, transporte e instalación de estación manual de doble acción. Se debe ejecutar con Jhonson Controls empresa autorizada por Opain </t>
  </si>
  <si>
    <t xml:space="preserve">Suministro, transporte e instalación de módulo aislador de cortocircuito referencia 4090-9116, incluye base. Se debe ejecutar con Jhonson Controls empresa autorizada por Opain </t>
  </si>
  <si>
    <t xml:space="preserve">Suministro, transporte e instalación de tubería EMT 3/4", incluye accesorios de instalación. Se debe ejecutar con Jhonson Controls empresa autorizada por Opain </t>
  </si>
  <si>
    <t>Ml</t>
  </si>
  <si>
    <t xml:space="preserve">Suministro, transporte e instalación de cable FPLR 2x18.Se debe ejecutar con Jhonson Controls empresa autorizada por Opain </t>
  </si>
  <si>
    <t xml:space="preserve">Suministro, transporte e instalación de caja metálica de 4x4" con tapa, para albergar módulos del sistema de detección de incendios. Se debe ejecutar con Jhonson Controls empresa autorizada por Opain </t>
  </si>
  <si>
    <t xml:space="preserve">RED CONTRA INCENDIOS (JHONSON CONTROLS) </t>
  </si>
  <si>
    <t>Tubería Acero al carbón SCH40 roscado en 1"</t>
  </si>
  <si>
    <t>Accesorios Acero roscados en 1"</t>
  </si>
  <si>
    <t>Accesorios Acero roscados en 1-1/4"</t>
  </si>
  <si>
    <t>ROCIADOR AUTOMATICO UP PENDENT cobertura extendida 5.5X5.5 (K=11.2) Ø1/2"</t>
  </si>
  <si>
    <t xml:space="preserve">Escudo de rociador </t>
  </si>
  <si>
    <t>ROCIADOR AUTOMATICO UP PENDENT cobertura extendida 5.5X5.5 (K=11.2) Ø1/2" Para repuesto</t>
  </si>
  <si>
    <t>Punto hidráulico rociador k=5.6 1/2"</t>
  </si>
  <si>
    <t xml:space="preserve">Montaje de Rociador </t>
  </si>
  <si>
    <t>Soporte de 1"</t>
  </si>
  <si>
    <t>Tubería en esmalte de 1"</t>
  </si>
  <si>
    <t>EQUIPOS ESPECIALES</t>
  </si>
  <si>
    <t xml:space="preserve">Alquiler de andamio certificado, se debe incluir certificado </t>
  </si>
  <si>
    <t xml:space="preserve">GL. </t>
  </si>
  <si>
    <t>Alquiler de Kit de rescate</t>
  </si>
  <si>
    <t xml:space="preserve">Alquiler de señalización, punto ecológico,  Kit de emergencia </t>
  </si>
  <si>
    <t xml:space="preserve">Alquiler de equipo Manlift con altura H=2-16m con un operario. </t>
  </si>
  <si>
    <t xml:space="preserve">Alquiler de 1 UND de escalera certificada de 5 m de alto, se debe incluir certificado </t>
  </si>
  <si>
    <t xml:space="preserve">Tapete y kit dieléctrico según norma para trabajo con electricidad. </t>
  </si>
  <si>
    <t>ASEO Y ENTREGA</t>
  </si>
  <si>
    <t>Aseo de obra, una cuadrilla (2 personas) (se debe incluir soportes) - últimos 7 días de ejecución de obra (el resto de días bajo responsabilidad del personal en sitio se debe garantizar la limpieza de pasillos y zonas comunes del centro comercial</t>
  </si>
  <si>
    <t>GL.</t>
  </si>
  <si>
    <t xml:space="preserve">Trasiego de escombros horizontal o vertical hasta 50m (tramitado por Interaseo empresa autorizada por el aeropuerto), cotizar el trámite con dicha entidad y emitir certificados de deposición </t>
  </si>
  <si>
    <t xml:space="preserve">GL </t>
  </si>
  <si>
    <t>item</t>
  </si>
  <si>
    <t>descripcion</t>
  </si>
  <si>
    <t>cant</t>
  </si>
  <si>
    <t>valor_unitario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</si>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</sst>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4" formatCode="_-&quot;$&quot;\ * #,##0.00_-;\-&quot;$&quot;\ * #,##0.00_-;_-&quot;$&quot;\ * &quot;-&quot;??_-;_-@_-"/>
    <numFmt numFmtId="164" formatCode="d&quot; de &quot;mmm&quot; de &quot;yy"/>
    <numFmt numFmtId="165" formatCode="#,##0.0_ ;[Red]\-#,##0.0\ "/>
    <numFmt numFmtId="166" formatCode="_(* #,##0_);_(* \(#,##0\);_(* \-_);_(@_)"/>
    <numFmt numFmtId="167" formatCode="#,##0.00_ ;[Red]\-#,##0.00\ "/>
    <numFmt numFmtId="168" formatCode="_-&quot;$&quot;\ * #,##0.00_-;\-&quot;$&quot;\ * #,##0.00_-;_-&quot;$&quot;\ * &quot;-&quot;??_-;_-@"/>
    <numFmt numFmtId="169" formatCode="_-&quot;$&quot;\ * #,##0_-;\-&quot;$&quot;\ * #,##0_-;_-&quot;$&quot;\ * &quot;-&quot;??_-;_-@"/>
    <numFmt numFmtId="170" formatCode="_-[$$-240A]\ * #,##0.00_-;\-[$$-240A]\ * #,##0.00_-;_-[$$-240A]\ * &quot;-&quot;??_-;_-@_-"/>
    <numFmt numFmtId="171" formatCode="0.0"/>
    <numFmt numFmtId="172" formatCode="_-* #,##0.00_-;\-* #,##0.00_-;_-* &quot;-&quot;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</cellStyleXfs>
  <cellXfs count="78">
    <xf numFmtId="0" fontId="0" fillId="0" borderId="0" xfId="0"/>
    <xf numFmtId="49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 wrapText="1"/>
    </xf>
    <xf numFmtId="49" fontId="3" fillId="3" borderId="0" xfId="0" applyNumberFormat="1" applyFont="1" applyFill="1" applyAlignment="1">
      <alignment horizontal="center" vertical="center"/>
    </xf>
    <xf numFmtId="167" fontId="3" fillId="3" borderId="0" xfId="0" applyNumberFormat="1" applyFont="1" applyFill="1" applyAlignment="1">
      <alignment horizontal="center" vertical="center"/>
    </xf>
    <xf numFmtId="168" fontId="3" fillId="3" borderId="0" xfId="0" applyNumberFormat="1" applyFont="1" applyFill="1" applyAlignment="1">
      <alignment vertical="center"/>
    </xf>
    <xf numFmtId="169" fontId="3" fillId="3" borderId="2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3" fontId="2" fillId="0" borderId="6" xfId="0" applyNumberFormat="1" applyFont="1" applyBorder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70" fontId="2" fillId="0" borderId="7" xfId="0" applyNumberFormat="1" applyFont="1" applyBorder="1" applyAlignment="1">
      <alignment horizontal="right" vertical="center"/>
    </xf>
    <xf numFmtId="169" fontId="2" fillId="0" borderId="2" xfId="0" applyNumberFormat="1" applyFont="1" applyBorder="1" applyAlignment="1">
      <alignment vertical="center"/>
    </xf>
    <xf numFmtId="3" fontId="2" fillId="4" borderId="6" xfId="0" applyNumberFormat="1" applyFont="1" applyFill="1" applyBorder="1" applyAlignment="1">
      <alignment horizontal="center" vertical="center"/>
    </xf>
    <xf numFmtId="167" fontId="2" fillId="4" borderId="6" xfId="0" applyNumberFormat="1" applyFont="1" applyFill="1" applyBorder="1" applyAlignment="1">
      <alignment horizontal="center" vertical="center"/>
    </xf>
    <xf numFmtId="170" fontId="2" fillId="4" borderId="7" xfId="0" applyNumberFormat="1" applyFont="1" applyFill="1" applyBorder="1" applyAlignment="1">
      <alignment horizontal="right" vertical="center"/>
    </xf>
    <xf numFmtId="0" fontId="2" fillId="4" borderId="6" xfId="0" applyFont="1" applyFill="1" applyBorder="1" applyAlignment="1">
      <alignment horizontal="center" vertical="center" wrapText="1"/>
    </xf>
    <xf numFmtId="3" fontId="3" fillId="3" borderId="6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 wrapText="1"/>
    </xf>
    <xf numFmtId="167" fontId="3" fillId="3" borderId="6" xfId="0" applyNumberFormat="1" applyFont="1" applyFill="1" applyBorder="1" applyAlignment="1">
      <alignment horizontal="center" vertical="center"/>
    </xf>
    <xf numFmtId="170" fontId="3" fillId="3" borderId="7" xfId="0" applyNumberFormat="1" applyFont="1" applyFill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 wrapText="1"/>
    </xf>
    <xf numFmtId="0" fontId="5" fillId="0" borderId="2" xfId="3" applyFont="1" applyBorder="1" applyAlignment="1">
      <alignment vertical="center" wrapText="1"/>
    </xf>
    <xf numFmtId="171" fontId="5" fillId="0" borderId="2" xfId="3" applyNumberFormat="1" applyFont="1" applyBorder="1" applyAlignment="1">
      <alignment horizontal="center" vertical="center"/>
    </xf>
    <xf numFmtId="167" fontId="5" fillId="0" borderId="2" xfId="4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vertical="center"/>
    </xf>
    <xf numFmtId="167" fontId="5" fillId="0" borderId="2" xfId="4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170" fontId="2" fillId="0" borderId="7" xfId="0" applyNumberFormat="1" applyFont="1" applyBorder="1" applyAlignment="1">
      <alignment horizontal="center" vertical="center"/>
    </xf>
    <xf numFmtId="167" fontId="5" fillId="0" borderId="0" xfId="4" applyNumberFormat="1" applyFont="1" applyBorder="1" applyAlignment="1">
      <alignment horizontal="center" vertical="center"/>
    </xf>
    <xf numFmtId="0" fontId="3" fillId="3" borderId="8" xfId="0" applyFont="1" applyFill="1" applyBorder="1" applyAlignment="1">
      <alignment vertical="center" wrapText="1"/>
    </xf>
    <xf numFmtId="3" fontId="3" fillId="3" borderId="8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71" fontId="2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3" fontId="2" fillId="0" borderId="2" xfId="0" applyNumberFormat="1" applyFont="1" applyBorder="1" applyAlignment="1">
      <alignment horizontal="right" vertical="center"/>
    </xf>
    <xf numFmtId="165" fontId="2" fillId="0" borderId="6" xfId="0" applyNumberFormat="1" applyFont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vertical="center" wrapText="1"/>
    </xf>
    <xf numFmtId="171" fontId="5" fillId="0" borderId="2" xfId="0" applyNumberFormat="1" applyFont="1" applyBorder="1" applyAlignment="1">
      <alignment horizontal="center" vertical="center"/>
    </xf>
    <xf numFmtId="172" fontId="5" fillId="0" borderId="2" xfId="1" applyNumberFormat="1" applyFont="1" applyBorder="1" applyAlignment="1">
      <alignment horizontal="center" vertical="center"/>
    </xf>
    <xf numFmtId="0" fontId="4" fillId="4" borderId="5" xfId="0" quotePrefix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3" fontId="3" fillId="3" borderId="12" xfId="0" applyNumberFormat="1" applyFont="1" applyFill="1" applyBorder="1" applyAlignment="1">
      <alignment horizontal="center" vertical="center"/>
    </xf>
    <xf numFmtId="0" fontId="4" fillId="4" borderId="12" xfId="0" quotePrefix="1" applyFont="1" applyFill="1" applyBorder="1" applyAlignment="1">
      <alignment horizontal="center" vertical="center" wrapText="1"/>
    </xf>
    <xf numFmtId="0" fontId="6" fillId="6" borderId="13" xfId="0" quotePrefix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vertical="center" wrapText="1"/>
    </xf>
    <xf numFmtId="3" fontId="6" fillId="6" borderId="2" xfId="0" applyNumberFormat="1" applyFont="1" applyFill="1" applyBorder="1" applyAlignment="1">
      <alignment horizontal="center" vertical="center"/>
    </xf>
    <xf numFmtId="44" fontId="6" fillId="6" borderId="2" xfId="2" applyFont="1" applyFill="1" applyBorder="1" applyAlignment="1">
      <alignment horizontal="center" vertical="center"/>
    </xf>
    <xf numFmtId="44" fontId="6" fillId="6" borderId="2" xfId="2" applyFont="1" applyFill="1" applyBorder="1" applyAlignment="1" applyProtection="1">
      <alignment horizontal="center" vertical="center"/>
    </xf>
    <xf numFmtId="0" fontId="5" fillId="0" borderId="13" xfId="0" quotePrefix="1" applyFont="1" applyBorder="1" applyAlignment="1">
      <alignment horizontal="center" vertical="center" wrapText="1"/>
    </xf>
    <xf numFmtId="172" fontId="5" fillId="0" borderId="14" xfId="1" applyNumberFormat="1" applyFont="1" applyBorder="1" applyAlignment="1">
      <alignment horizontal="center" vertical="center"/>
    </xf>
    <xf numFmtId="44" fontId="5" fillId="0" borderId="2" xfId="2" applyFont="1" applyFill="1" applyBorder="1" applyAlignment="1">
      <alignment horizontal="right" vertical="center"/>
    </xf>
    <xf numFmtId="0" fontId="5" fillId="0" borderId="1" xfId="0" quotePrefix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171" fontId="5" fillId="0" borderId="13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44" fontId="5" fillId="5" borderId="2" xfId="2" applyFont="1" applyFill="1" applyBorder="1" applyAlignment="1">
      <alignment horizontal="right" vertical="center"/>
    </xf>
    <xf numFmtId="0" fontId="7" fillId="7" borderId="5" xfId="0" quotePrefix="1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vertical="center" wrapText="1"/>
    </xf>
    <xf numFmtId="3" fontId="7" fillId="7" borderId="9" xfId="0" applyNumberFormat="1" applyFont="1" applyFill="1" applyBorder="1" applyAlignment="1">
      <alignment horizontal="center" vertical="center"/>
    </xf>
    <xf numFmtId="167" fontId="7" fillId="7" borderId="6" xfId="0" applyNumberFormat="1" applyFont="1" applyFill="1" applyBorder="1" applyAlignment="1">
      <alignment horizontal="center" vertical="center"/>
    </xf>
    <xf numFmtId="44" fontId="7" fillId="7" borderId="2" xfId="2" applyFont="1" applyFill="1" applyBorder="1" applyAlignment="1">
      <alignment horizontal="right" vertical="center"/>
    </xf>
    <xf numFmtId="168" fontId="7" fillId="7" borderId="2" xfId="0" applyNumberFormat="1" applyFont="1" applyFill="1" applyBorder="1" applyAlignment="1">
      <alignment vertical="center"/>
    </xf>
    <xf numFmtId="170" fontId="2" fillId="5" borderId="6" xfId="0" applyNumberFormat="1" applyFont="1" applyFill="1" applyBorder="1" applyAlignment="1">
      <alignment horizontal="right" vertical="center"/>
    </xf>
    <xf numFmtId="168" fontId="2" fillId="0" borderId="15" xfId="0" applyNumberFormat="1" applyFont="1" applyBorder="1" applyAlignment="1">
      <alignment vertical="center"/>
    </xf>
    <xf numFmtId="170" fontId="2" fillId="0" borderId="6" xfId="0" applyNumberFormat="1" applyFont="1" applyBorder="1" applyAlignment="1">
      <alignment horizontal="right" vertical="center"/>
    </xf>
    <xf numFmtId="164" fontId="2" fillId="2" borderId="2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/>
    </xf>
  </cellXfs>
  <cellStyles count="5">
    <cellStyle name="Millares [0]" xfId="1" builtinId="6"/>
    <cellStyle name="Millares [0] 2" xfId="4" xr:uid="{3D2BAEDF-D313-4771-8C75-1C6AAFAD4AFF}"/>
    <cellStyle name="Moneda" xfId="2" builtinId="4"/>
    <cellStyle name="Normal" xfId="0" builtinId="0"/>
    <cellStyle name="Normal 4" xfId="3" xr:uid="{44688D0D-5770-4605-A473-1DE0C25171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60B8-1D9E-4E50-99E5-F9F92E4E9047}">
  <dimension ref="A1:F196"/>
  <sheetViews>
    <sheetView tabSelected="1" workbookViewId="0">
      <selection sqref="A1:XFD1"/>
    </sheetView>
  </sheetViews>
  <sheetFormatPr baseColWidth="10" defaultRowHeight="15" x14ac:dyDescent="0.25"/>
  <cols>
    <col min="2" max="2" width="26.85546875" customWidth="1"/>
  </cols>
  <sheetData>
    <row r="1" spans="1:6" x14ac:dyDescent="0.25">
      <c r="A1" s="77" t="s">
        <v>209</v>
      </c>
      <c r="B1" s="76" t="s">
        <v>210</v>
      </c>
      <c r="C1" s="1" t="s">
        <v>48</v>
      </c>
      <c r="D1" s="2" t="s">
        <v>211</v>
      </c>
      <c r="E1" s="3" t="s">
        <v>212</v>
      </c>
      <c r="F1" s="4" t="s">
        <v>213</v>
      </c>
    </row>
    <row r="2" spans="1:6" x14ac:dyDescent="0.25">
      <c r="A2" s="5">
        <v>1</v>
      </c>
      <c r="B2" s="6" t="s">
        <v>0</v>
      </c>
      <c r="C2" s="7"/>
      <c r="D2" s="8"/>
      <c r="E2" s="9"/>
      <c r="F2" s="10">
        <f>SUM(F3:F11)</f>
        <v>67111676.510000005</v>
      </c>
    </row>
    <row r="3" spans="1:6" ht="33.75" x14ac:dyDescent="0.25">
      <c r="A3" s="11"/>
      <c r="B3" s="12" t="s">
        <v>1</v>
      </c>
      <c r="C3" s="13" t="s">
        <v>2</v>
      </c>
      <c r="D3" s="14">
        <f>87.7212+44.423+33.239+20.1239</f>
        <v>185.50710000000001</v>
      </c>
      <c r="E3" s="15">
        <v>25300</v>
      </c>
      <c r="F3" s="16">
        <f>D3*E3</f>
        <v>4693329.63</v>
      </c>
    </row>
    <row r="4" spans="1:6" ht="22.5" x14ac:dyDescent="0.25">
      <c r="A4" s="11"/>
      <c r="B4" s="12" t="s">
        <v>3</v>
      </c>
      <c r="C4" s="17" t="s">
        <v>4</v>
      </c>
      <c r="D4" s="18">
        <v>1</v>
      </c>
      <c r="E4" s="19">
        <v>1650000</v>
      </c>
      <c r="F4" s="16">
        <f t="shared" ref="F4:F11" si="0">D4*E4</f>
        <v>1650000</v>
      </c>
    </row>
    <row r="5" spans="1:6" ht="22.5" x14ac:dyDescent="0.25">
      <c r="A5" s="11"/>
      <c r="B5" s="12" t="s">
        <v>5</v>
      </c>
      <c r="C5" s="17" t="s">
        <v>4</v>
      </c>
      <c r="D5" s="18">
        <v>1</v>
      </c>
      <c r="E5" s="19">
        <v>650000</v>
      </c>
      <c r="F5" s="16">
        <f t="shared" si="0"/>
        <v>650000</v>
      </c>
    </row>
    <row r="6" spans="1:6" ht="101.25" x14ac:dyDescent="0.25">
      <c r="A6" s="11"/>
      <c r="B6" s="12" t="s">
        <v>6</v>
      </c>
      <c r="C6" s="17" t="s">
        <v>2</v>
      </c>
      <c r="D6" s="18">
        <f>46.54*3.97</f>
        <v>184.7638</v>
      </c>
      <c r="E6" s="19">
        <v>82300</v>
      </c>
      <c r="F6" s="16">
        <f t="shared" si="0"/>
        <v>15206060.74</v>
      </c>
    </row>
    <row r="7" spans="1:6" ht="101.25" x14ac:dyDescent="0.25">
      <c r="A7" s="11"/>
      <c r="B7" s="20" t="s">
        <v>7</v>
      </c>
      <c r="C7" s="17" t="s">
        <v>2</v>
      </c>
      <c r="D7" s="14">
        <f>87.7212+44.423+33.239+20.1239</f>
        <v>185.50710000000001</v>
      </c>
      <c r="E7" s="19">
        <v>55000</v>
      </c>
      <c r="F7" s="16">
        <f>D7*E7</f>
        <v>10202890.5</v>
      </c>
    </row>
    <row r="8" spans="1:6" ht="90" x14ac:dyDescent="0.25">
      <c r="A8" s="11"/>
      <c r="B8" s="20" t="s">
        <v>8</v>
      </c>
      <c r="C8" s="17" t="s">
        <v>4</v>
      </c>
      <c r="D8" s="18">
        <v>1</v>
      </c>
      <c r="E8" s="19">
        <v>1450000</v>
      </c>
      <c r="F8" s="16">
        <f t="shared" si="0"/>
        <v>1450000</v>
      </c>
    </row>
    <row r="9" spans="1:6" ht="78.75" x14ac:dyDescent="0.25">
      <c r="A9" s="11"/>
      <c r="B9" s="20" t="s">
        <v>9</v>
      </c>
      <c r="C9" s="17" t="s">
        <v>2</v>
      </c>
      <c r="D9" s="14">
        <f>87.7212+44.423+33.239+20.1239</f>
        <v>185.50710000000001</v>
      </c>
      <c r="E9" s="15">
        <v>168400</v>
      </c>
      <c r="F9" s="16">
        <f t="shared" si="0"/>
        <v>31239395.640000001</v>
      </c>
    </row>
    <row r="10" spans="1:6" ht="22.5" x14ac:dyDescent="0.25">
      <c r="A10" s="11"/>
      <c r="B10" s="20" t="s">
        <v>10</v>
      </c>
      <c r="C10" s="17" t="s">
        <v>4</v>
      </c>
      <c r="D10" s="18">
        <v>1</v>
      </c>
      <c r="E10" s="19">
        <v>1450000</v>
      </c>
      <c r="F10" s="16">
        <f t="shared" si="0"/>
        <v>1450000</v>
      </c>
    </row>
    <row r="11" spans="1:6" ht="33.75" x14ac:dyDescent="0.25">
      <c r="A11" s="11"/>
      <c r="B11" s="20" t="s">
        <v>11</v>
      </c>
      <c r="C11" s="17" t="s">
        <v>12</v>
      </c>
      <c r="D11" s="18">
        <v>2</v>
      </c>
      <c r="E11" s="19">
        <v>285000</v>
      </c>
      <c r="F11" s="16">
        <f t="shared" si="0"/>
        <v>570000</v>
      </c>
    </row>
    <row r="12" spans="1:6" x14ac:dyDescent="0.25">
      <c r="A12" s="21">
        <v>2</v>
      </c>
      <c r="B12" s="22" t="s">
        <v>13</v>
      </c>
      <c r="C12" s="21"/>
      <c r="D12" s="23"/>
      <c r="E12" s="24"/>
      <c r="F12" s="10">
        <f>SUM(F13:F18)</f>
        <v>34800316</v>
      </c>
    </row>
    <row r="13" spans="1:6" ht="22.5" x14ac:dyDescent="0.25">
      <c r="A13" s="25"/>
      <c r="B13" s="26" t="s">
        <v>14</v>
      </c>
      <c r="C13" s="27" t="s">
        <v>15</v>
      </c>
      <c r="D13" s="28">
        <v>11.7225</v>
      </c>
      <c r="E13" s="15">
        <v>98600</v>
      </c>
      <c r="F13" s="29">
        <f t="shared" ref="F13:F18" si="1">D13*E13</f>
        <v>1155838.5</v>
      </c>
    </row>
    <row r="14" spans="1:6" ht="33.75" x14ac:dyDescent="0.25">
      <c r="A14" s="25"/>
      <c r="B14" s="26" t="s">
        <v>16</v>
      </c>
      <c r="C14" s="27" t="s">
        <v>2</v>
      </c>
      <c r="D14" s="30">
        <v>185.51</v>
      </c>
      <c r="E14" s="15">
        <v>87450</v>
      </c>
      <c r="F14" s="29">
        <f t="shared" si="1"/>
        <v>16222849.5</v>
      </c>
    </row>
    <row r="15" spans="1:6" ht="78.75" x14ac:dyDescent="0.25">
      <c r="A15" s="25"/>
      <c r="B15" s="31" t="s">
        <v>17</v>
      </c>
      <c r="C15" s="13" t="s">
        <v>15</v>
      </c>
      <c r="D15" s="14">
        <v>80</v>
      </c>
      <c r="E15" s="32">
        <v>72400</v>
      </c>
      <c r="F15" s="29">
        <f t="shared" si="1"/>
        <v>5792000</v>
      </c>
    </row>
    <row r="16" spans="1:6" ht="90" x14ac:dyDescent="0.25">
      <c r="A16" s="25"/>
      <c r="B16" s="26" t="s">
        <v>18</v>
      </c>
      <c r="C16" s="27" t="s">
        <v>15</v>
      </c>
      <c r="D16" s="28">
        <v>11.72</v>
      </c>
      <c r="E16" s="32">
        <v>95400</v>
      </c>
      <c r="F16" s="29">
        <f t="shared" si="1"/>
        <v>1118088</v>
      </c>
    </row>
    <row r="17" spans="1:6" ht="33.75" x14ac:dyDescent="0.25">
      <c r="A17" s="25"/>
      <c r="B17" s="26" t="s">
        <v>19</v>
      </c>
      <c r="C17" s="27" t="s">
        <v>15</v>
      </c>
      <c r="D17" s="28">
        <f>20.3+10.7+10.7+10.7+10.7+18+18+18+18</f>
        <v>135.10000000000002</v>
      </c>
      <c r="E17" s="15">
        <v>75400</v>
      </c>
      <c r="F17" s="29">
        <f t="shared" si="1"/>
        <v>10186540.000000002</v>
      </c>
    </row>
    <row r="18" spans="1:6" ht="56.25" x14ac:dyDescent="0.25">
      <c r="A18" s="25"/>
      <c r="B18" s="26" t="s">
        <v>20</v>
      </c>
      <c r="C18" s="27" t="s">
        <v>21</v>
      </c>
      <c r="D18" s="33">
        <v>1</v>
      </c>
      <c r="E18" s="32">
        <v>325000</v>
      </c>
      <c r="F18" s="29">
        <f t="shared" si="1"/>
        <v>325000</v>
      </c>
    </row>
    <row r="19" spans="1:6" x14ac:dyDescent="0.25">
      <c r="A19" s="21">
        <v>3</v>
      </c>
      <c r="B19" s="22" t="s">
        <v>22</v>
      </c>
      <c r="C19" s="21"/>
      <c r="D19" s="23"/>
      <c r="E19" s="24"/>
      <c r="F19" s="10">
        <f>SUM(F20:F26)</f>
        <v>68207000</v>
      </c>
    </row>
    <row r="20" spans="1:6" ht="78.75" x14ac:dyDescent="0.25">
      <c r="A20" s="11"/>
      <c r="B20" s="31" t="s">
        <v>23</v>
      </c>
      <c r="C20" s="13" t="s">
        <v>2</v>
      </c>
      <c r="D20" s="14">
        <f>22+34</f>
        <v>56</v>
      </c>
      <c r="E20" s="15">
        <v>287900</v>
      </c>
      <c r="F20" s="16">
        <f>D20*E20</f>
        <v>16122400</v>
      </c>
    </row>
    <row r="21" spans="1:6" ht="67.5" x14ac:dyDescent="0.25">
      <c r="A21" s="11"/>
      <c r="B21" s="31" t="s">
        <v>24</v>
      </c>
      <c r="C21" s="13" t="s">
        <v>2</v>
      </c>
      <c r="D21" s="14">
        <v>32</v>
      </c>
      <c r="E21" s="15">
        <v>295400</v>
      </c>
      <c r="F21" s="16">
        <f t="shared" ref="F21:F26" si="2">D21*E21</f>
        <v>9452800</v>
      </c>
    </row>
    <row r="22" spans="1:6" ht="67.5" x14ac:dyDescent="0.25">
      <c r="A22" s="11"/>
      <c r="B22" s="31" t="s">
        <v>25</v>
      </c>
      <c r="C22" s="13" t="s">
        <v>2</v>
      </c>
      <c r="D22" s="14">
        <v>92</v>
      </c>
      <c r="E22" s="15">
        <v>223200</v>
      </c>
      <c r="F22" s="16">
        <f t="shared" si="2"/>
        <v>20534400</v>
      </c>
    </row>
    <row r="23" spans="1:6" ht="67.5" x14ac:dyDescent="0.25">
      <c r="A23" s="11"/>
      <c r="B23" s="31" t="s">
        <v>26</v>
      </c>
      <c r="C23" s="13" t="s">
        <v>15</v>
      </c>
      <c r="D23" s="14">
        <v>18</v>
      </c>
      <c r="E23" s="15">
        <v>32800</v>
      </c>
      <c r="F23" s="16">
        <f t="shared" si="2"/>
        <v>590400</v>
      </c>
    </row>
    <row r="24" spans="1:6" ht="67.5" x14ac:dyDescent="0.25">
      <c r="A24" s="11"/>
      <c r="B24" s="31" t="s">
        <v>27</v>
      </c>
      <c r="C24" s="13" t="s">
        <v>28</v>
      </c>
      <c r="D24" s="14">
        <v>30</v>
      </c>
      <c r="E24" s="15">
        <v>395800</v>
      </c>
      <c r="F24" s="16">
        <f t="shared" si="2"/>
        <v>11874000</v>
      </c>
    </row>
    <row r="25" spans="1:6" ht="67.5" x14ac:dyDescent="0.25">
      <c r="A25" s="11"/>
      <c r="B25" s="31" t="s">
        <v>29</v>
      </c>
      <c r="C25" s="13" t="s">
        <v>2</v>
      </c>
      <c r="D25" s="14">
        <v>15</v>
      </c>
      <c r="E25" s="15">
        <v>395800</v>
      </c>
      <c r="F25" s="16">
        <f>D25*E25</f>
        <v>5937000</v>
      </c>
    </row>
    <row r="26" spans="1:6" ht="33.75" x14ac:dyDescent="0.25">
      <c r="A26" s="11"/>
      <c r="B26" s="31" t="s">
        <v>30</v>
      </c>
      <c r="C26" s="13" t="s">
        <v>2</v>
      </c>
      <c r="D26" s="14">
        <v>40</v>
      </c>
      <c r="E26" s="15">
        <v>92400</v>
      </c>
      <c r="F26" s="16">
        <f t="shared" si="2"/>
        <v>3696000</v>
      </c>
    </row>
    <row r="27" spans="1:6" x14ac:dyDescent="0.25">
      <c r="A27" s="21">
        <v>4</v>
      </c>
      <c r="B27" s="22" t="s">
        <v>31</v>
      </c>
      <c r="C27" s="21"/>
      <c r="D27" s="23"/>
      <c r="E27" s="24"/>
      <c r="F27" s="10">
        <f>SUM(F28:F32)</f>
        <v>30571602</v>
      </c>
    </row>
    <row r="28" spans="1:6" ht="78.75" x14ac:dyDescent="0.25">
      <c r="A28" s="25"/>
      <c r="B28" s="31" t="s">
        <v>32</v>
      </c>
      <c r="C28" s="13" t="s">
        <v>2</v>
      </c>
      <c r="D28" s="14">
        <v>21</v>
      </c>
      <c r="E28" s="15">
        <v>92400</v>
      </c>
      <c r="F28" s="16">
        <f>D28*E28</f>
        <v>1940400</v>
      </c>
    </row>
    <row r="29" spans="1:6" ht="112.5" x14ac:dyDescent="0.25">
      <c r="A29" s="25"/>
      <c r="B29" s="31" t="s">
        <v>33</v>
      </c>
      <c r="C29" s="13" t="s">
        <v>2</v>
      </c>
      <c r="D29" s="14">
        <v>34</v>
      </c>
      <c r="E29" s="15">
        <v>195300</v>
      </c>
      <c r="F29" s="16">
        <f>D29*E29</f>
        <v>6640200</v>
      </c>
    </row>
    <row r="30" spans="1:6" ht="101.25" x14ac:dyDescent="0.25">
      <c r="A30" s="25"/>
      <c r="B30" s="31" t="s">
        <v>34</v>
      </c>
      <c r="C30" s="13" t="s">
        <v>2</v>
      </c>
      <c r="D30" s="14">
        <v>30.68</v>
      </c>
      <c r="E30" s="15">
        <v>195300</v>
      </c>
      <c r="F30" s="16">
        <f>D30*E30</f>
        <v>5991804</v>
      </c>
    </row>
    <row r="31" spans="1:6" ht="67.5" x14ac:dyDescent="0.25">
      <c r="A31" s="25"/>
      <c r="B31" s="31" t="s">
        <v>35</v>
      </c>
      <c r="C31" s="13" t="s">
        <v>2</v>
      </c>
      <c r="D31" s="14">
        <v>12</v>
      </c>
      <c r="E31" s="15">
        <v>541800</v>
      </c>
      <c r="F31" s="16">
        <f>D31*E31</f>
        <v>6501600</v>
      </c>
    </row>
    <row r="32" spans="1:6" ht="90" x14ac:dyDescent="0.25">
      <c r="A32" s="25"/>
      <c r="B32" s="31" t="s">
        <v>36</v>
      </c>
      <c r="C32" s="13" t="s">
        <v>2</v>
      </c>
      <c r="D32" s="14">
        <v>33.22</v>
      </c>
      <c r="E32" s="15">
        <v>285900</v>
      </c>
      <c r="F32" s="16">
        <f>D32*E32</f>
        <v>9497598</v>
      </c>
    </row>
    <row r="33" spans="1:6" ht="22.5" x14ac:dyDescent="0.25">
      <c r="A33" s="21">
        <v>5</v>
      </c>
      <c r="B33" s="34" t="s">
        <v>37</v>
      </c>
      <c r="C33" s="35"/>
      <c r="D33" s="23"/>
      <c r="E33" s="24"/>
      <c r="F33" s="10">
        <f>SUM(F34:F43)</f>
        <v>41129412</v>
      </c>
    </row>
    <row r="34" spans="1:6" ht="78.75" x14ac:dyDescent="0.25">
      <c r="A34" s="11"/>
      <c r="B34" s="31" t="s">
        <v>38</v>
      </c>
      <c r="C34" s="13" t="s">
        <v>2</v>
      </c>
      <c r="D34" s="14">
        <f>8.38*6</f>
        <v>50.28</v>
      </c>
      <c r="E34" s="15">
        <v>198700</v>
      </c>
      <c r="F34" s="29">
        <f>D34*E34</f>
        <v>9990636</v>
      </c>
    </row>
    <row r="35" spans="1:6" ht="78.75" x14ac:dyDescent="0.25">
      <c r="A35" s="11"/>
      <c r="B35" s="31" t="s">
        <v>39</v>
      </c>
      <c r="C35" s="13" t="s">
        <v>2</v>
      </c>
      <c r="D35" s="14">
        <f>15*4</f>
        <v>60</v>
      </c>
      <c r="E35" s="15">
        <f>E34*0.7</f>
        <v>139090</v>
      </c>
      <c r="F35" s="29">
        <f t="shared" ref="F35:F43" si="3">D35*E35</f>
        <v>8345400</v>
      </c>
    </row>
    <row r="36" spans="1:6" ht="67.5" x14ac:dyDescent="0.25">
      <c r="A36" s="11"/>
      <c r="B36" s="36" t="s">
        <v>40</v>
      </c>
      <c r="C36" s="13" t="s">
        <v>2</v>
      </c>
      <c r="D36" s="14">
        <v>60</v>
      </c>
      <c r="E36" s="15">
        <v>135800</v>
      </c>
      <c r="F36" s="29">
        <f>D36*E36</f>
        <v>8148000</v>
      </c>
    </row>
    <row r="37" spans="1:6" ht="67.5" x14ac:dyDescent="0.25">
      <c r="A37" s="11"/>
      <c r="B37" s="37" t="s">
        <v>41</v>
      </c>
      <c r="C37" s="13" t="s">
        <v>2</v>
      </c>
      <c r="D37" s="14">
        <v>10</v>
      </c>
      <c r="E37" s="15">
        <v>62400</v>
      </c>
      <c r="F37" s="29">
        <f t="shared" si="3"/>
        <v>624000</v>
      </c>
    </row>
    <row r="38" spans="1:6" ht="45" x14ac:dyDescent="0.25">
      <c r="A38" s="11"/>
      <c r="B38" s="38" t="s">
        <v>42</v>
      </c>
      <c r="C38" s="13" t="s">
        <v>43</v>
      </c>
      <c r="D38" s="14">
        <v>10</v>
      </c>
      <c r="E38" s="15">
        <v>89400</v>
      </c>
      <c r="F38" s="29">
        <f t="shared" si="3"/>
        <v>894000</v>
      </c>
    </row>
    <row r="39" spans="1:6" ht="45" x14ac:dyDescent="0.25">
      <c r="A39" s="11"/>
      <c r="B39" s="39" t="s">
        <v>44</v>
      </c>
      <c r="C39" s="13" t="s">
        <v>43</v>
      </c>
      <c r="D39" s="14">
        <v>20</v>
      </c>
      <c r="E39" s="15">
        <v>126800</v>
      </c>
      <c r="F39" s="29">
        <f t="shared" si="3"/>
        <v>2536000</v>
      </c>
    </row>
    <row r="40" spans="1:6" ht="56.25" x14ac:dyDescent="0.25">
      <c r="A40" s="11"/>
      <c r="B40" s="31" t="s">
        <v>45</v>
      </c>
      <c r="C40" s="13" t="s">
        <v>28</v>
      </c>
      <c r="D40" s="14">
        <f>D34</f>
        <v>50.28</v>
      </c>
      <c r="E40" s="15">
        <v>135400</v>
      </c>
      <c r="F40" s="29">
        <f t="shared" si="3"/>
        <v>6807912</v>
      </c>
    </row>
    <row r="41" spans="1:6" ht="45" x14ac:dyDescent="0.25">
      <c r="A41" s="11"/>
      <c r="B41" s="31" t="s">
        <v>46</v>
      </c>
      <c r="C41" s="13" t="s">
        <v>28</v>
      </c>
      <c r="D41" s="14">
        <f>7.24*4</f>
        <v>28.96</v>
      </c>
      <c r="E41" s="15">
        <v>18400</v>
      </c>
      <c r="F41" s="29">
        <f t="shared" si="3"/>
        <v>532864</v>
      </c>
    </row>
    <row r="42" spans="1:6" ht="33.75" x14ac:dyDescent="0.25">
      <c r="A42" s="11"/>
      <c r="B42" s="31" t="s">
        <v>47</v>
      </c>
      <c r="C42" s="13" t="s">
        <v>48</v>
      </c>
      <c r="D42" s="14">
        <v>20</v>
      </c>
      <c r="E42" s="15">
        <v>121300</v>
      </c>
      <c r="F42" s="29">
        <f t="shared" si="3"/>
        <v>2426000</v>
      </c>
    </row>
    <row r="43" spans="1:6" ht="33.75" x14ac:dyDescent="0.25">
      <c r="A43" s="11"/>
      <c r="B43" s="31" t="s">
        <v>49</v>
      </c>
      <c r="C43" s="13" t="s">
        <v>48</v>
      </c>
      <c r="D43" s="14">
        <v>14</v>
      </c>
      <c r="E43" s="15">
        <v>58900</v>
      </c>
      <c r="F43" s="29">
        <f t="shared" si="3"/>
        <v>824600</v>
      </c>
    </row>
    <row r="44" spans="1:6" x14ac:dyDescent="0.25">
      <c r="A44" s="21">
        <v>6</v>
      </c>
      <c r="B44" s="6" t="s">
        <v>50</v>
      </c>
      <c r="C44" s="21"/>
      <c r="D44" s="23"/>
      <c r="E44" s="24"/>
      <c r="F44" s="10">
        <f>SUM(F45:F49)</f>
        <v>17987672</v>
      </c>
    </row>
    <row r="45" spans="1:6" ht="33.75" x14ac:dyDescent="0.25">
      <c r="A45" s="25"/>
      <c r="B45" s="31" t="s">
        <v>51</v>
      </c>
      <c r="C45" s="13" t="s">
        <v>43</v>
      </c>
      <c r="D45" s="14">
        <v>3</v>
      </c>
      <c r="E45" s="15">
        <v>380000</v>
      </c>
      <c r="F45" s="16">
        <f>D45*E45</f>
        <v>1140000</v>
      </c>
    </row>
    <row r="46" spans="1:6" ht="33.75" x14ac:dyDescent="0.25">
      <c r="A46" s="25"/>
      <c r="B46" s="31" t="s">
        <v>52</v>
      </c>
      <c r="C46" s="13" t="s">
        <v>2</v>
      </c>
      <c r="D46" s="14">
        <f>D34+D35</f>
        <v>110.28</v>
      </c>
      <c r="E46" s="15">
        <v>27400</v>
      </c>
      <c r="F46" s="16">
        <f>D46*E46</f>
        <v>3021672</v>
      </c>
    </row>
    <row r="47" spans="1:6" ht="78.75" x14ac:dyDescent="0.25">
      <c r="A47" s="25"/>
      <c r="B47" s="40" t="s">
        <v>53</v>
      </c>
      <c r="C47" s="41" t="s">
        <v>54</v>
      </c>
      <c r="D47" s="42">
        <v>6</v>
      </c>
      <c r="E47" s="15">
        <v>658000</v>
      </c>
      <c r="F47" s="16">
        <f>D47*E47</f>
        <v>3948000</v>
      </c>
    </row>
    <row r="48" spans="1:6" ht="56.25" x14ac:dyDescent="0.25">
      <c r="A48" s="25"/>
      <c r="B48" s="43" t="s">
        <v>55</v>
      </c>
      <c r="C48" s="41" t="s">
        <v>54</v>
      </c>
      <c r="D48" s="42">
        <v>10</v>
      </c>
      <c r="E48" s="32">
        <v>42800</v>
      </c>
      <c r="F48" s="16">
        <f>D48*E48</f>
        <v>428000</v>
      </c>
    </row>
    <row r="49" spans="1:6" ht="90" x14ac:dyDescent="0.25">
      <c r="A49" s="25"/>
      <c r="B49" s="31" t="s">
        <v>56</v>
      </c>
      <c r="C49" s="13" t="s">
        <v>43</v>
      </c>
      <c r="D49" s="14">
        <v>3</v>
      </c>
      <c r="E49" s="15">
        <v>3150000</v>
      </c>
      <c r="F49" s="16">
        <f>D49*E49</f>
        <v>9450000</v>
      </c>
    </row>
    <row r="50" spans="1:6" ht="22.5" x14ac:dyDescent="0.25">
      <c r="A50" s="21">
        <v>7</v>
      </c>
      <c r="B50" s="6" t="s">
        <v>57</v>
      </c>
      <c r="C50" s="21"/>
      <c r="D50" s="23"/>
      <c r="E50" s="24"/>
      <c r="F50" s="10">
        <f>SUM(F51:F68)</f>
        <v>21364654.299999997</v>
      </c>
    </row>
    <row r="51" spans="1:6" ht="56.25" x14ac:dyDescent="0.25">
      <c r="A51" s="25"/>
      <c r="B51" s="40" t="s">
        <v>58</v>
      </c>
      <c r="C51" s="41" t="s">
        <v>54</v>
      </c>
      <c r="D51" s="42">
        <v>1</v>
      </c>
      <c r="E51" s="44">
        <v>2937600</v>
      </c>
      <c r="F51" s="16">
        <f>D51*E51</f>
        <v>2937600</v>
      </c>
    </row>
    <row r="52" spans="1:6" ht="33.75" x14ac:dyDescent="0.25">
      <c r="A52" s="25"/>
      <c r="B52" s="40" t="s">
        <v>59</v>
      </c>
      <c r="C52" s="41" t="s">
        <v>2</v>
      </c>
      <c r="D52" s="42">
        <f>((6.45*3)+(6.45*3)+(3.89*3)+(3.89*3))</f>
        <v>62.040000000000006</v>
      </c>
      <c r="E52" s="32">
        <v>33000</v>
      </c>
      <c r="F52" s="16">
        <f t="shared" ref="F52:F58" si="4">D52*E52</f>
        <v>2047320.0000000002</v>
      </c>
    </row>
    <row r="53" spans="1:6" ht="33.75" x14ac:dyDescent="0.25">
      <c r="A53" s="25"/>
      <c r="B53" s="40" t="s">
        <v>60</v>
      </c>
      <c r="C53" s="41" t="s">
        <v>28</v>
      </c>
      <c r="D53" s="42">
        <v>25.1</v>
      </c>
      <c r="E53" s="32">
        <v>28000</v>
      </c>
      <c r="F53" s="16">
        <f t="shared" si="4"/>
        <v>702800</v>
      </c>
    </row>
    <row r="54" spans="1:6" ht="78.75" x14ac:dyDescent="0.25">
      <c r="A54" s="25"/>
      <c r="B54" s="31" t="s">
        <v>32</v>
      </c>
      <c r="C54" s="13" t="s">
        <v>2</v>
      </c>
      <c r="D54" s="45">
        <v>25.1</v>
      </c>
      <c r="E54" s="32">
        <v>74500</v>
      </c>
      <c r="F54" s="16">
        <f>D54*E54</f>
        <v>1869950</v>
      </c>
    </row>
    <row r="55" spans="1:6" ht="22.5" x14ac:dyDescent="0.25">
      <c r="A55" s="25"/>
      <c r="B55" s="40" t="s">
        <v>61</v>
      </c>
      <c r="C55" s="41" t="s">
        <v>62</v>
      </c>
      <c r="D55" s="42">
        <v>1</v>
      </c>
      <c r="E55" s="32">
        <v>75000</v>
      </c>
      <c r="F55" s="16">
        <f>D55*E55</f>
        <v>75000</v>
      </c>
    </row>
    <row r="56" spans="1:6" ht="33.75" x14ac:dyDescent="0.25">
      <c r="A56" s="25"/>
      <c r="B56" s="40" t="s">
        <v>63</v>
      </c>
      <c r="C56" s="41" t="s">
        <v>2</v>
      </c>
      <c r="D56" s="42">
        <f>6.45*3.89</f>
        <v>25.090500000000002</v>
      </c>
      <c r="E56" s="44">
        <v>129600</v>
      </c>
      <c r="F56" s="16">
        <f t="shared" si="4"/>
        <v>3251728.8000000003</v>
      </c>
    </row>
    <row r="57" spans="1:6" ht="33.75" x14ac:dyDescent="0.25">
      <c r="A57" s="25"/>
      <c r="B57" s="40" t="s">
        <v>64</v>
      </c>
      <c r="C57" s="41" t="s">
        <v>2</v>
      </c>
      <c r="D57" s="42">
        <f>D52+D56</f>
        <v>87.130500000000012</v>
      </c>
      <c r="E57" s="44">
        <v>18200</v>
      </c>
      <c r="F57" s="16">
        <f t="shared" si="4"/>
        <v>1585775.1000000003</v>
      </c>
    </row>
    <row r="58" spans="1:6" ht="22.5" x14ac:dyDescent="0.25">
      <c r="A58" s="25"/>
      <c r="B58" s="40" t="s">
        <v>65</v>
      </c>
      <c r="C58" s="41" t="s">
        <v>2</v>
      </c>
      <c r="D58" s="42">
        <v>16.3</v>
      </c>
      <c r="E58" s="44">
        <v>25300</v>
      </c>
      <c r="F58" s="16">
        <f t="shared" si="4"/>
        <v>412390</v>
      </c>
    </row>
    <row r="59" spans="1:6" ht="22.5" x14ac:dyDescent="0.25">
      <c r="A59" s="25"/>
      <c r="B59" s="40" t="s">
        <v>66</v>
      </c>
      <c r="C59" s="41" t="s">
        <v>54</v>
      </c>
      <c r="D59" s="42">
        <v>6</v>
      </c>
      <c r="E59" s="44">
        <v>14600</v>
      </c>
      <c r="F59" s="16">
        <f>D59*E59</f>
        <v>87600</v>
      </c>
    </row>
    <row r="60" spans="1:6" ht="22.5" x14ac:dyDescent="0.25">
      <c r="A60" s="25"/>
      <c r="B60" s="40" t="s">
        <v>67</v>
      </c>
      <c r="C60" s="41" t="s">
        <v>54</v>
      </c>
      <c r="D60" s="42">
        <v>6</v>
      </c>
      <c r="E60" s="44">
        <v>351000</v>
      </c>
      <c r="F60" s="16">
        <f t="shared" ref="F60:F68" si="5">D60*E60</f>
        <v>2106000</v>
      </c>
    </row>
    <row r="61" spans="1:6" ht="22.5" x14ac:dyDescent="0.25">
      <c r="A61" s="25"/>
      <c r="B61" s="40" t="s">
        <v>68</v>
      </c>
      <c r="C61" s="41" t="s">
        <v>54</v>
      </c>
      <c r="D61" s="42">
        <v>6</v>
      </c>
      <c r="E61" s="44">
        <v>7100</v>
      </c>
      <c r="F61" s="16">
        <f t="shared" si="5"/>
        <v>42600</v>
      </c>
    </row>
    <row r="62" spans="1:6" ht="22.5" x14ac:dyDescent="0.25">
      <c r="A62" s="25"/>
      <c r="B62" s="40" t="s">
        <v>69</v>
      </c>
      <c r="C62" s="41" t="s">
        <v>70</v>
      </c>
      <c r="D62" s="42">
        <f>6.45+6.45+3.89+3.89</f>
        <v>20.68</v>
      </c>
      <c r="E62" s="44">
        <v>10300</v>
      </c>
      <c r="F62" s="16">
        <f t="shared" si="5"/>
        <v>213004</v>
      </c>
    </row>
    <row r="63" spans="1:6" ht="33.75" x14ac:dyDescent="0.25">
      <c r="A63" s="25"/>
      <c r="B63" s="40" t="s">
        <v>71</v>
      </c>
      <c r="C63" s="41" t="s">
        <v>70</v>
      </c>
      <c r="D63" s="42">
        <f>6.45+6.45+3.89+3.89</f>
        <v>20.68</v>
      </c>
      <c r="E63" s="44">
        <v>74500</v>
      </c>
      <c r="F63" s="16">
        <f t="shared" si="5"/>
        <v>1540660</v>
      </c>
    </row>
    <row r="64" spans="1:6" ht="22.5" x14ac:dyDescent="0.25">
      <c r="A64" s="25"/>
      <c r="B64" s="40" t="s">
        <v>72</v>
      </c>
      <c r="C64" s="41" t="s">
        <v>54</v>
      </c>
      <c r="D64" s="42">
        <v>20</v>
      </c>
      <c r="E64" s="44">
        <v>7100</v>
      </c>
      <c r="F64" s="16">
        <f t="shared" si="5"/>
        <v>142000</v>
      </c>
    </row>
    <row r="65" spans="1:6" ht="56.25" x14ac:dyDescent="0.25">
      <c r="A65" s="25"/>
      <c r="B65" s="40" t="s">
        <v>73</v>
      </c>
      <c r="C65" s="41" t="s">
        <v>54</v>
      </c>
      <c r="D65" s="42">
        <v>4</v>
      </c>
      <c r="E65" s="46">
        <v>658000</v>
      </c>
      <c r="F65" s="16">
        <f t="shared" si="5"/>
        <v>2632000</v>
      </c>
    </row>
    <row r="66" spans="1:6" ht="45" x14ac:dyDescent="0.25">
      <c r="A66" s="25"/>
      <c r="B66" s="40" t="s">
        <v>74</v>
      </c>
      <c r="C66" s="41" t="s">
        <v>54</v>
      </c>
      <c r="D66" s="42">
        <v>1</v>
      </c>
      <c r="E66" s="32">
        <v>650000</v>
      </c>
      <c r="F66" s="16">
        <f>D66*E66</f>
        <v>650000</v>
      </c>
    </row>
    <row r="67" spans="1:6" ht="45" x14ac:dyDescent="0.25">
      <c r="A67" s="25"/>
      <c r="B67" s="40" t="s">
        <v>75</v>
      </c>
      <c r="C67" s="41" t="s">
        <v>54</v>
      </c>
      <c r="D67" s="42">
        <v>1</v>
      </c>
      <c r="E67" s="32">
        <v>650000</v>
      </c>
      <c r="F67" s="16">
        <f>D67*E67</f>
        <v>650000</v>
      </c>
    </row>
    <row r="68" spans="1:6" ht="22.5" x14ac:dyDescent="0.25">
      <c r="A68" s="25"/>
      <c r="B68" s="40" t="s">
        <v>76</v>
      </c>
      <c r="C68" s="41" t="s">
        <v>2</v>
      </c>
      <c r="D68" s="42">
        <f>D56+D52</f>
        <v>87.130500000000012</v>
      </c>
      <c r="E68" s="32">
        <v>4800</v>
      </c>
      <c r="F68" s="16">
        <f t="shared" si="5"/>
        <v>418226.40000000008</v>
      </c>
    </row>
    <row r="69" spans="1:6" x14ac:dyDescent="0.25">
      <c r="A69" s="21">
        <v>8</v>
      </c>
      <c r="B69" s="22" t="s">
        <v>77</v>
      </c>
      <c r="C69" s="21"/>
      <c r="D69" s="23"/>
      <c r="E69" s="24"/>
      <c r="F69" s="10">
        <f>SUM(F70:F70)</f>
        <v>23062200</v>
      </c>
    </row>
    <row r="70" spans="1:6" ht="90" x14ac:dyDescent="0.25">
      <c r="A70" s="25"/>
      <c r="B70" s="31" t="s">
        <v>78</v>
      </c>
      <c r="C70" s="13" t="s">
        <v>79</v>
      </c>
      <c r="D70" s="14">
        <v>17</v>
      </c>
      <c r="E70" s="15">
        <f>950000*1.19*1.2</f>
        <v>1356600</v>
      </c>
      <c r="F70" s="29">
        <f>D70*E70</f>
        <v>23062200</v>
      </c>
    </row>
    <row r="71" spans="1:6" ht="22.5" x14ac:dyDescent="0.25">
      <c r="A71" s="21">
        <v>9</v>
      </c>
      <c r="B71" s="22" t="s">
        <v>80</v>
      </c>
      <c r="C71" s="21"/>
      <c r="D71" s="23"/>
      <c r="E71" s="24"/>
      <c r="F71" s="10">
        <f>SUM(F72:F96)</f>
        <v>28487600</v>
      </c>
    </row>
    <row r="72" spans="1:6" ht="22.5" x14ac:dyDescent="0.25">
      <c r="A72" s="25"/>
      <c r="B72" s="47" t="s">
        <v>81</v>
      </c>
      <c r="C72" s="48" t="s">
        <v>15</v>
      </c>
      <c r="D72" s="49">
        <v>40</v>
      </c>
      <c r="E72" s="15">
        <v>17200</v>
      </c>
      <c r="F72" s="29">
        <f>D72*E72</f>
        <v>688000</v>
      </c>
    </row>
    <row r="73" spans="1:6" ht="22.5" x14ac:dyDescent="0.25">
      <c r="A73" s="25"/>
      <c r="B73" s="47" t="s">
        <v>82</v>
      </c>
      <c r="C73" s="48" t="s">
        <v>43</v>
      </c>
      <c r="D73" s="49">
        <v>50</v>
      </c>
      <c r="E73" s="15">
        <v>12100</v>
      </c>
      <c r="F73" s="29">
        <f t="shared" ref="F73:F96" si="6">D73*E73</f>
        <v>605000</v>
      </c>
    </row>
    <row r="74" spans="1:6" x14ac:dyDescent="0.25">
      <c r="A74" s="25"/>
      <c r="B74" s="47" t="s">
        <v>83</v>
      </c>
      <c r="C74" s="48" t="s">
        <v>43</v>
      </c>
      <c r="D74" s="49">
        <v>12</v>
      </c>
      <c r="E74" s="15">
        <v>75600</v>
      </c>
      <c r="F74" s="29">
        <f t="shared" si="6"/>
        <v>907200</v>
      </c>
    </row>
    <row r="75" spans="1:6" ht="22.5" x14ac:dyDescent="0.25">
      <c r="A75" s="25"/>
      <c r="B75" s="47" t="s">
        <v>84</v>
      </c>
      <c r="C75" s="48" t="s">
        <v>43</v>
      </c>
      <c r="D75" s="49">
        <v>4</v>
      </c>
      <c r="E75" s="15">
        <v>94500</v>
      </c>
      <c r="F75" s="29">
        <f t="shared" si="6"/>
        <v>378000</v>
      </c>
    </row>
    <row r="76" spans="1:6" ht="22.5" x14ac:dyDescent="0.25">
      <c r="A76" s="25"/>
      <c r="B76" s="47" t="s">
        <v>85</v>
      </c>
      <c r="C76" s="48" t="s">
        <v>43</v>
      </c>
      <c r="D76" s="49">
        <v>12</v>
      </c>
      <c r="E76" s="15">
        <v>122200</v>
      </c>
      <c r="F76" s="29">
        <f t="shared" si="6"/>
        <v>1466400</v>
      </c>
    </row>
    <row r="77" spans="1:6" ht="22.5" x14ac:dyDescent="0.25">
      <c r="A77" s="25"/>
      <c r="B77" s="47" t="s">
        <v>86</v>
      </c>
      <c r="C77" s="48" t="s">
        <v>15</v>
      </c>
      <c r="D77" s="49">
        <v>32</v>
      </c>
      <c r="E77" s="15">
        <v>17200</v>
      </c>
      <c r="F77" s="29">
        <f t="shared" si="6"/>
        <v>550400</v>
      </c>
    </row>
    <row r="78" spans="1:6" ht="22.5" x14ac:dyDescent="0.25">
      <c r="A78" s="25"/>
      <c r="B78" s="47" t="s">
        <v>87</v>
      </c>
      <c r="C78" s="48" t="s">
        <v>43</v>
      </c>
      <c r="D78" s="49">
        <v>42</v>
      </c>
      <c r="E78" s="15">
        <v>12100</v>
      </c>
      <c r="F78" s="29">
        <f t="shared" si="6"/>
        <v>508200</v>
      </c>
    </row>
    <row r="79" spans="1:6" x14ac:dyDescent="0.25">
      <c r="A79" s="25"/>
      <c r="B79" s="47" t="s">
        <v>83</v>
      </c>
      <c r="C79" s="48" t="s">
        <v>43</v>
      </c>
      <c r="D79" s="49">
        <v>10</v>
      </c>
      <c r="E79" s="15">
        <v>75600</v>
      </c>
      <c r="F79" s="29">
        <f t="shared" si="6"/>
        <v>756000</v>
      </c>
    </row>
    <row r="80" spans="1:6" ht="22.5" x14ac:dyDescent="0.25">
      <c r="A80" s="25"/>
      <c r="B80" s="47" t="s">
        <v>85</v>
      </c>
      <c r="C80" s="48" t="s">
        <v>43</v>
      </c>
      <c r="D80" s="49">
        <v>8</v>
      </c>
      <c r="E80" s="15">
        <v>122200</v>
      </c>
      <c r="F80" s="29">
        <f t="shared" si="6"/>
        <v>977600</v>
      </c>
    </row>
    <row r="81" spans="1:6" ht="22.5" x14ac:dyDescent="0.25">
      <c r="A81" s="25"/>
      <c r="B81" s="47" t="s">
        <v>88</v>
      </c>
      <c r="C81" s="48" t="s">
        <v>43</v>
      </c>
      <c r="D81" s="49">
        <v>12</v>
      </c>
      <c r="E81" s="15">
        <v>250300</v>
      </c>
      <c r="F81" s="29">
        <f t="shared" si="6"/>
        <v>3003600</v>
      </c>
    </row>
    <row r="82" spans="1:6" x14ac:dyDescent="0.25">
      <c r="A82" s="25"/>
      <c r="B82" s="47" t="s">
        <v>89</v>
      </c>
      <c r="C82" s="48" t="s">
        <v>43</v>
      </c>
      <c r="D82" s="49">
        <v>4</v>
      </c>
      <c r="E82" s="15">
        <v>250300</v>
      </c>
      <c r="F82" s="29">
        <f t="shared" si="6"/>
        <v>1001200</v>
      </c>
    </row>
    <row r="83" spans="1:6" ht="22.5" x14ac:dyDescent="0.25">
      <c r="A83" s="25"/>
      <c r="B83" s="47" t="s">
        <v>90</v>
      </c>
      <c r="C83" s="48" t="s">
        <v>15</v>
      </c>
      <c r="D83" s="49">
        <v>16</v>
      </c>
      <c r="E83" s="15">
        <v>50300</v>
      </c>
      <c r="F83" s="29">
        <f t="shared" si="6"/>
        <v>804800</v>
      </c>
    </row>
    <row r="84" spans="1:6" ht="22.5" x14ac:dyDescent="0.25">
      <c r="A84" s="25"/>
      <c r="B84" s="47" t="s">
        <v>91</v>
      </c>
      <c r="C84" s="48" t="s">
        <v>15</v>
      </c>
      <c r="D84" s="49">
        <v>20</v>
      </c>
      <c r="E84" s="15">
        <v>42900</v>
      </c>
      <c r="F84" s="29">
        <f t="shared" si="6"/>
        <v>858000</v>
      </c>
    </row>
    <row r="85" spans="1:6" x14ac:dyDescent="0.25">
      <c r="A85" s="25"/>
      <c r="B85" s="47" t="s">
        <v>92</v>
      </c>
      <c r="C85" s="48" t="s">
        <v>43</v>
      </c>
      <c r="D85" s="49">
        <v>24</v>
      </c>
      <c r="E85" s="15">
        <v>83400</v>
      </c>
      <c r="F85" s="29">
        <f t="shared" si="6"/>
        <v>2001600</v>
      </c>
    </row>
    <row r="86" spans="1:6" x14ac:dyDescent="0.25">
      <c r="A86" s="25"/>
      <c r="B86" s="47" t="s">
        <v>93</v>
      </c>
      <c r="C86" s="48" t="s">
        <v>43</v>
      </c>
      <c r="D86" s="49">
        <v>30</v>
      </c>
      <c r="E86" s="15">
        <v>67700</v>
      </c>
      <c r="F86" s="29">
        <f t="shared" si="6"/>
        <v>2031000</v>
      </c>
    </row>
    <row r="87" spans="1:6" ht="67.5" x14ac:dyDescent="0.25">
      <c r="A87" s="25"/>
      <c r="B87" s="47" t="s">
        <v>94</v>
      </c>
      <c r="C87" s="48" t="s">
        <v>43</v>
      </c>
      <c r="D87" s="49">
        <v>8</v>
      </c>
      <c r="E87" s="15">
        <v>95400</v>
      </c>
      <c r="F87" s="29">
        <f t="shared" si="6"/>
        <v>763200</v>
      </c>
    </row>
    <row r="88" spans="1:6" ht="45" x14ac:dyDescent="0.25">
      <c r="A88" s="25"/>
      <c r="B88" s="47" t="s">
        <v>95</v>
      </c>
      <c r="C88" s="48" t="s">
        <v>43</v>
      </c>
      <c r="D88" s="49">
        <v>10</v>
      </c>
      <c r="E88" s="15">
        <v>87900</v>
      </c>
      <c r="F88" s="29">
        <f t="shared" si="6"/>
        <v>879000</v>
      </c>
    </row>
    <row r="89" spans="1:6" ht="33.75" x14ac:dyDescent="0.25">
      <c r="A89" s="25"/>
      <c r="B89" s="47" t="s">
        <v>96</v>
      </c>
      <c r="C89" s="48" t="s">
        <v>43</v>
      </c>
      <c r="D89" s="49">
        <v>8</v>
      </c>
      <c r="E89" s="15">
        <v>62400</v>
      </c>
      <c r="F89" s="29">
        <f t="shared" si="6"/>
        <v>499200</v>
      </c>
    </row>
    <row r="90" spans="1:6" ht="33.75" x14ac:dyDescent="0.25">
      <c r="A90" s="25"/>
      <c r="B90" s="47" t="s">
        <v>97</v>
      </c>
      <c r="C90" s="48" t="s">
        <v>43</v>
      </c>
      <c r="D90" s="49">
        <v>4</v>
      </c>
      <c r="E90" s="15">
        <v>115800</v>
      </c>
      <c r="F90" s="29">
        <f t="shared" si="6"/>
        <v>463200</v>
      </c>
    </row>
    <row r="91" spans="1:6" ht="67.5" x14ac:dyDescent="0.25">
      <c r="A91" s="25"/>
      <c r="B91" s="47" t="s">
        <v>98</v>
      </c>
      <c r="C91" s="48" t="s">
        <v>43</v>
      </c>
      <c r="D91" s="49">
        <v>2</v>
      </c>
      <c r="E91" s="15">
        <v>95400</v>
      </c>
      <c r="F91" s="29">
        <f t="shared" si="6"/>
        <v>190800</v>
      </c>
    </row>
    <row r="92" spans="1:6" ht="56.25" x14ac:dyDescent="0.25">
      <c r="A92" s="25"/>
      <c r="B92" s="47" t="s">
        <v>99</v>
      </c>
      <c r="C92" s="48" t="s">
        <v>43</v>
      </c>
      <c r="D92" s="49">
        <v>2</v>
      </c>
      <c r="E92" s="15">
        <v>845300</v>
      </c>
      <c r="F92" s="29">
        <f t="shared" si="6"/>
        <v>1690600</v>
      </c>
    </row>
    <row r="93" spans="1:6" ht="56.25" x14ac:dyDescent="0.25">
      <c r="A93" s="25"/>
      <c r="B93" s="47" t="s">
        <v>100</v>
      </c>
      <c r="C93" s="48" t="s">
        <v>43</v>
      </c>
      <c r="D93" s="49">
        <v>4</v>
      </c>
      <c r="E93" s="15">
        <v>1235400</v>
      </c>
      <c r="F93" s="29">
        <f t="shared" si="6"/>
        <v>4941600</v>
      </c>
    </row>
    <row r="94" spans="1:6" ht="45" x14ac:dyDescent="0.25">
      <c r="A94" s="25"/>
      <c r="B94" s="47" t="s">
        <v>101</v>
      </c>
      <c r="C94" s="48" t="s">
        <v>43</v>
      </c>
      <c r="D94" s="49">
        <v>2</v>
      </c>
      <c r="E94" s="15">
        <v>495600</v>
      </c>
      <c r="F94" s="29">
        <f t="shared" si="6"/>
        <v>991200</v>
      </c>
    </row>
    <row r="95" spans="1:6" ht="101.25" x14ac:dyDescent="0.25">
      <c r="A95" s="25"/>
      <c r="B95" s="47" t="s">
        <v>102</v>
      </c>
      <c r="C95" s="48" t="s">
        <v>43</v>
      </c>
      <c r="D95" s="49">
        <v>1</v>
      </c>
      <c r="E95" s="15">
        <v>1345000</v>
      </c>
      <c r="F95" s="29">
        <f t="shared" si="6"/>
        <v>1345000</v>
      </c>
    </row>
    <row r="96" spans="1:6" ht="22.5" x14ac:dyDescent="0.25">
      <c r="A96" s="25"/>
      <c r="B96" s="47" t="s">
        <v>103</v>
      </c>
      <c r="C96" s="48" t="s">
        <v>43</v>
      </c>
      <c r="D96" s="49">
        <v>2</v>
      </c>
      <c r="E96" s="15">
        <v>93400</v>
      </c>
      <c r="F96" s="29">
        <f t="shared" si="6"/>
        <v>186800</v>
      </c>
    </row>
    <row r="97" spans="1:6" ht="22.5" x14ac:dyDescent="0.25">
      <c r="A97" s="21">
        <v>10</v>
      </c>
      <c r="B97" s="22" t="s">
        <v>104</v>
      </c>
      <c r="C97" s="21"/>
      <c r="D97" s="23"/>
      <c r="E97" s="24"/>
      <c r="F97" s="10">
        <f>SUM(F98:F102)</f>
        <v>3906500</v>
      </c>
    </row>
    <row r="98" spans="1:6" ht="22.5" x14ac:dyDescent="0.25">
      <c r="A98" s="25"/>
      <c r="B98" s="31" t="s">
        <v>105</v>
      </c>
      <c r="C98" s="13" t="s">
        <v>54</v>
      </c>
      <c r="D98" s="14">
        <v>1</v>
      </c>
      <c r="E98" s="15">
        <v>95400</v>
      </c>
      <c r="F98" s="29">
        <f>D98*E98</f>
        <v>95400</v>
      </c>
    </row>
    <row r="99" spans="1:6" ht="56.25" x14ac:dyDescent="0.25">
      <c r="A99" s="25"/>
      <c r="B99" s="31" t="s">
        <v>99</v>
      </c>
      <c r="C99" s="13" t="s">
        <v>54</v>
      </c>
      <c r="D99" s="14">
        <v>1</v>
      </c>
      <c r="E99" s="15">
        <v>845300</v>
      </c>
      <c r="F99" s="29">
        <f>D99*E99</f>
        <v>845300</v>
      </c>
    </row>
    <row r="100" spans="1:6" ht="56.25" x14ac:dyDescent="0.25">
      <c r="A100" s="25"/>
      <c r="B100" s="31" t="s">
        <v>100</v>
      </c>
      <c r="C100" s="13" t="s">
        <v>54</v>
      </c>
      <c r="D100" s="14">
        <v>1</v>
      </c>
      <c r="E100" s="15">
        <v>1235400</v>
      </c>
      <c r="F100" s="29">
        <f>D100*E100</f>
        <v>1235400</v>
      </c>
    </row>
    <row r="101" spans="1:6" ht="56.25" x14ac:dyDescent="0.25">
      <c r="A101" s="25"/>
      <c r="B101" s="31" t="s">
        <v>106</v>
      </c>
      <c r="C101" s="13" t="s">
        <v>54</v>
      </c>
      <c r="D101" s="14">
        <v>1</v>
      </c>
      <c r="E101" s="15">
        <v>1235400</v>
      </c>
      <c r="F101" s="29">
        <f>D101*E101</f>
        <v>1235400</v>
      </c>
    </row>
    <row r="102" spans="1:6" ht="78.75" x14ac:dyDescent="0.25">
      <c r="A102" s="25"/>
      <c r="B102" s="31" t="s">
        <v>107</v>
      </c>
      <c r="C102" s="13" t="s">
        <v>54</v>
      </c>
      <c r="D102" s="14">
        <v>1</v>
      </c>
      <c r="E102" s="15">
        <v>495000</v>
      </c>
      <c r="F102" s="29">
        <f>D102*E102</f>
        <v>495000</v>
      </c>
    </row>
    <row r="103" spans="1:6" x14ac:dyDescent="0.25">
      <c r="A103" s="21">
        <v>11</v>
      </c>
      <c r="B103" s="22" t="s">
        <v>108</v>
      </c>
      <c r="C103" s="21"/>
      <c r="D103" s="23"/>
      <c r="E103" s="24"/>
      <c r="F103" s="10">
        <f>SUM(F104:F144)</f>
        <v>44416200</v>
      </c>
    </row>
    <row r="104" spans="1:6" x14ac:dyDescent="0.25">
      <c r="A104" s="25"/>
      <c r="B104" s="31" t="s">
        <v>109</v>
      </c>
      <c r="C104" s="13" t="s">
        <v>12</v>
      </c>
      <c r="D104" s="14">
        <v>14</v>
      </c>
      <c r="E104" s="15">
        <v>133300</v>
      </c>
      <c r="F104" s="29">
        <f>D104*E104</f>
        <v>1866200</v>
      </c>
    </row>
    <row r="105" spans="1:6" x14ac:dyDescent="0.25">
      <c r="A105" s="25"/>
      <c r="B105" s="31" t="s">
        <v>110</v>
      </c>
      <c r="C105" s="13" t="s">
        <v>12</v>
      </c>
      <c r="D105" s="14">
        <v>10</v>
      </c>
      <c r="E105" s="15">
        <v>133300</v>
      </c>
      <c r="F105" s="29">
        <f t="shared" ref="F105:F144" si="7">D105*E105</f>
        <v>1333000</v>
      </c>
    </row>
    <row r="106" spans="1:6" ht="22.5" x14ac:dyDescent="0.25">
      <c r="A106" s="25"/>
      <c r="B106" s="31" t="s">
        <v>111</v>
      </c>
      <c r="C106" s="13" t="s">
        <v>112</v>
      </c>
      <c r="D106" s="14">
        <v>6</v>
      </c>
      <c r="E106" s="15">
        <v>133300</v>
      </c>
      <c r="F106" s="29">
        <f>D106*E106</f>
        <v>799800</v>
      </c>
    </row>
    <row r="107" spans="1:6" x14ac:dyDescent="0.25">
      <c r="A107" s="25"/>
      <c r="B107" s="31" t="s">
        <v>113</v>
      </c>
      <c r="C107" s="13" t="s">
        <v>12</v>
      </c>
      <c r="D107" s="14">
        <v>5</v>
      </c>
      <c r="E107" s="15">
        <v>133300</v>
      </c>
      <c r="F107" s="29">
        <f t="shared" si="7"/>
        <v>666500</v>
      </c>
    </row>
    <row r="108" spans="1:6" x14ac:dyDescent="0.25">
      <c r="A108" s="25"/>
      <c r="B108" s="31" t="s">
        <v>114</v>
      </c>
      <c r="C108" s="13" t="s">
        <v>12</v>
      </c>
      <c r="D108" s="14">
        <v>4</v>
      </c>
      <c r="E108" s="15">
        <v>133300</v>
      </c>
      <c r="F108" s="29">
        <f t="shared" si="7"/>
        <v>533200</v>
      </c>
    </row>
    <row r="109" spans="1:6" ht="22.5" x14ac:dyDescent="0.25">
      <c r="A109" s="25"/>
      <c r="B109" s="31" t="s">
        <v>115</v>
      </c>
      <c r="C109" s="13" t="s">
        <v>12</v>
      </c>
      <c r="D109" s="14">
        <v>8</v>
      </c>
      <c r="E109" s="15">
        <v>133300</v>
      </c>
      <c r="F109" s="29">
        <f t="shared" si="7"/>
        <v>1066400</v>
      </c>
    </row>
    <row r="110" spans="1:6" ht="22.5" x14ac:dyDescent="0.25">
      <c r="A110" s="25"/>
      <c r="B110" s="31" t="s">
        <v>116</v>
      </c>
      <c r="C110" s="13" t="s">
        <v>12</v>
      </c>
      <c r="D110" s="14">
        <v>1</v>
      </c>
      <c r="E110" s="15">
        <v>133300</v>
      </c>
      <c r="F110" s="29">
        <f t="shared" si="7"/>
        <v>133300</v>
      </c>
    </row>
    <row r="111" spans="1:6" ht="22.5" x14ac:dyDescent="0.25">
      <c r="A111" s="25"/>
      <c r="B111" s="31" t="s">
        <v>117</v>
      </c>
      <c r="C111" s="13" t="s">
        <v>12</v>
      </c>
      <c r="D111" s="14">
        <v>8</v>
      </c>
      <c r="E111" s="15">
        <v>133300</v>
      </c>
      <c r="F111" s="29">
        <f t="shared" si="7"/>
        <v>1066400</v>
      </c>
    </row>
    <row r="112" spans="1:6" ht="22.5" x14ac:dyDescent="0.25">
      <c r="A112" s="25"/>
      <c r="B112" s="31" t="s">
        <v>118</v>
      </c>
      <c r="C112" s="13" t="s">
        <v>12</v>
      </c>
      <c r="D112" s="14">
        <v>3</v>
      </c>
      <c r="E112" s="15">
        <v>133300</v>
      </c>
      <c r="F112" s="29">
        <f>D112*E112</f>
        <v>399900</v>
      </c>
    </row>
    <row r="113" spans="1:6" ht="67.5" x14ac:dyDescent="0.25">
      <c r="A113" s="25"/>
      <c r="B113" s="31" t="s">
        <v>119</v>
      </c>
      <c r="C113" s="13" t="s">
        <v>12</v>
      </c>
      <c r="D113" s="14">
        <v>8</v>
      </c>
      <c r="E113" s="15">
        <v>147600</v>
      </c>
      <c r="F113" s="29">
        <f t="shared" si="7"/>
        <v>1180800</v>
      </c>
    </row>
    <row r="114" spans="1:6" ht="67.5" x14ac:dyDescent="0.25">
      <c r="A114" s="25"/>
      <c r="B114" s="31" t="s">
        <v>120</v>
      </c>
      <c r="C114" s="13" t="s">
        <v>12</v>
      </c>
      <c r="D114" s="14">
        <v>21</v>
      </c>
      <c r="E114" s="15">
        <v>165200</v>
      </c>
      <c r="F114" s="29">
        <f t="shared" si="7"/>
        <v>3469200</v>
      </c>
    </row>
    <row r="115" spans="1:6" ht="78.75" x14ac:dyDescent="0.25">
      <c r="A115" s="25"/>
      <c r="B115" s="31" t="s">
        <v>121</v>
      </c>
      <c r="C115" s="13" t="s">
        <v>12</v>
      </c>
      <c r="D115" s="14">
        <v>12</v>
      </c>
      <c r="E115" s="15">
        <v>148700</v>
      </c>
      <c r="F115" s="29">
        <f t="shared" si="7"/>
        <v>1784400</v>
      </c>
    </row>
    <row r="116" spans="1:6" x14ac:dyDescent="0.25">
      <c r="A116" s="25"/>
      <c r="B116" s="31" t="s">
        <v>122</v>
      </c>
      <c r="C116" s="13" t="s">
        <v>12</v>
      </c>
      <c r="D116" s="14">
        <v>2</v>
      </c>
      <c r="E116" s="32">
        <f>E107</f>
        <v>133300</v>
      </c>
      <c r="F116" s="29">
        <f t="shared" si="7"/>
        <v>266600</v>
      </c>
    </row>
    <row r="117" spans="1:6" x14ac:dyDescent="0.25">
      <c r="A117" s="25"/>
      <c r="B117" s="31" t="s">
        <v>123</v>
      </c>
      <c r="C117" s="13" t="s">
        <v>12</v>
      </c>
      <c r="D117" s="14">
        <v>1</v>
      </c>
      <c r="E117" s="32">
        <f>E116</f>
        <v>133300</v>
      </c>
      <c r="F117" s="29">
        <f>D117*E117</f>
        <v>133300</v>
      </c>
    </row>
    <row r="118" spans="1:6" x14ac:dyDescent="0.25">
      <c r="A118" s="25"/>
      <c r="B118" s="31" t="s">
        <v>124</v>
      </c>
      <c r="C118" s="13" t="s">
        <v>12</v>
      </c>
      <c r="D118" s="14">
        <v>8</v>
      </c>
      <c r="E118" s="32">
        <f>E117</f>
        <v>133300</v>
      </c>
      <c r="F118" s="29">
        <f>D118*E118</f>
        <v>1066400</v>
      </c>
    </row>
    <row r="119" spans="1:6" x14ac:dyDescent="0.25">
      <c r="A119" s="25"/>
      <c r="B119" s="31" t="s">
        <v>125</v>
      </c>
      <c r="C119" s="13" t="s">
        <v>12</v>
      </c>
      <c r="D119" s="14">
        <v>6</v>
      </c>
      <c r="E119" s="32">
        <f>E118</f>
        <v>133300</v>
      </c>
      <c r="F119" s="29">
        <f t="shared" si="7"/>
        <v>799800</v>
      </c>
    </row>
    <row r="120" spans="1:6" ht="56.25" x14ac:dyDescent="0.25">
      <c r="A120" s="25"/>
      <c r="B120" s="31" t="s">
        <v>126</v>
      </c>
      <c r="C120" s="13" t="s">
        <v>12</v>
      </c>
      <c r="D120" s="14">
        <v>12</v>
      </c>
      <c r="E120" s="32">
        <f>E119</f>
        <v>133300</v>
      </c>
      <c r="F120" s="29">
        <f t="shared" si="7"/>
        <v>1599600</v>
      </c>
    </row>
    <row r="121" spans="1:6" ht="56.25" x14ac:dyDescent="0.25">
      <c r="A121" s="25"/>
      <c r="B121" s="31" t="s">
        <v>127</v>
      </c>
      <c r="C121" s="13" t="s">
        <v>12</v>
      </c>
      <c r="D121" s="14">
        <v>24</v>
      </c>
      <c r="E121" s="15">
        <v>148700</v>
      </c>
      <c r="F121" s="29">
        <f t="shared" si="7"/>
        <v>3568800</v>
      </c>
    </row>
    <row r="122" spans="1:6" ht="45" x14ac:dyDescent="0.25">
      <c r="A122" s="25"/>
      <c r="B122" s="31" t="s">
        <v>128</v>
      </c>
      <c r="C122" s="13" t="s">
        <v>12</v>
      </c>
      <c r="D122" s="14">
        <v>2</v>
      </c>
      <c r="E122" s="15">
        <v>223200</v>
      </c>
      <c r="F122" s="29">
        <f t="shared" si="7"/>
        <v>446400</v>
      </c>
    </row>
    <row r="123" spans="1:6" ht="45" x14ac:dyDescent="0.25">
      <c r="A123" s="25"/>
      <c r="B123" s="31" t="s">
        <v>129</v>
      </c>
      <c r="C123" s="13" t="s">
        <v>12</v>
      </c>
      <c r="D123" s="14">
        <v>6</v>
      </c>
      <c r="E123" s="15">
        <v>223200</v>
      </c>
      <c r="F123" s="29">
        <f t="shared" si="7"/>
        <v>1339200</v>
      </c>
    </row>
    <row r="124" spans="1:6" ht="56.25" x14ac:dyDescent="0.25">
      <c r="A124" s="25"/>
      <c r="B124" s="31" t="s">
        <v>130</v>
      </c>
      <c r="C124" s="13" t="s">
        <v>12</v>
      </c>
      <c r="D124" s="14">
        <v>1</v>
      </c>
      <c r="E124" s="15">
        <v>304400</v>
      </c>
      <c r="F124" s="29">
        <f t="shared" si="7"/>
        <v>304400</v>
      </c>
    </row>
    <row r="125" spans="1:6" ht="33.75" x14ac:dyDescent="0.25">
      <c r="A125" s="25"/>
      <c r="B125" s="31" t="s">
        <v>131</v>
      </c>
      <c r="C125" s="13" t="s">
        <v>12</v>
      </c>
      <c r="D125" s="14">
        <v>2</v>
      </c>
      <c r="E125" s="32">
        <f>E122</f>
        <v>223200</v>
      </c>
      <c r="F125" s="29">
        <f>D125*E125</f>
        <v>446400</v>
      </c>
    </row>
    <row r="126" spans="1:6" ht="22.5" x14ac:dyDescent="0.25">
      <c r="A126" s="25"/>
      <c r="B126" s="31" t="s">
        <v>132</v>
      </c>
      <c r="C126" s="13" t="s">
        <v>12</v>
      </c>
      <c r="D126" s="14">
        <v>1</v>
      </c>
      <c r="E126" s="15">
        <v>304400</v>
      </c>
      <c r="F126" s="29">
        <f t="shared" si="7"/>
        <v>304400</v>
      </c>
    </row>
    <row r="127" spans="1:6" ht="45" x14ac:dyDescent="0.25">
      <c r="A127" s="25"/>
      <c r="B127" s="31" t="s">
        <v>133</v>
      </c>
      <c r="C127" s="13" t="s">
        <v>12</v>
      </c>
      <c r="D127" s="14">
        <v>2</v>
      </c>
      <c r="E127" s="15">
        <v>223200</v>
      </c>
      <c r="F127" s="29">
        <f t="shared" si="7"/>
        <v>446400</v>
      </c>
    </row>
    <row r="128" spans="1:6" ht="78.75" x14ac:dyDescent="0.25">
      <c r="A128" s="25"/>
      <c r="B128" s="31" t="s">
        <v>134</v>
      </c>
      <c r="C128" s="13" t="s">
        <v>12</v>
      </c>
      <c r="D128" s="14">
        <v>8</v>
      </c>
      <c r="E128" s="15">
        <v>135900</v>
      </c>
      <c r="F128" s="29">
        <f t="shared" si="7"/>
        <v>1087200</v>
      </c>
    </row>
    <row r="129" spans="1:6" ht="33.75" x14ac:dyDescent="0.25">
      <c r="A129" s="25"/>
      <c r="B129" s="31" t="s">
        <v>135</v>
      </c>
      <c r="C129" s="13" t="s">
        <v>12</v>
      </c>
      <c r="D129" s="14">
        <f>D104+D105+D109+D111</f>
        <v>40</v>
      </c>
      <c r="E129" s="15">
        <v>14200</v>
      </c>
      <c r="F129" s="29">
        <f t="shared" si="7"/>
        <v>568000</v>
      </c>
    </row>
    <row r="130" spans="1:6" ht="33.75" x14ac:dyDescent="0.25">
      <c r="A130" s="25"/>
      <c r="B130" s="31" t="s">
        <v>136</v>
      </c>
      <c r="C130" s="13" t="s">
        <v>12</v>
      </c>
      <c r="D130" s="14">
        <f>D65+D47+12</f>
        <v>22</v>
      </c>
      <c r="E130" s="15">
        <v>35800</v>
      </c>
      <c r="F130" s="29">
        <f t="shared" si="7"/>
        <v>787600</v>
      </c>
    </row>
    <row r="131" spans="1:6" ht="90" x14ac:dyDescent="0.25">
      <c r="A131" s="25"/>
      <c r="B131" s="31" t="s">
        <v>137</v>
      </c>
      <c r="C131" s="13" t="s">
        <v>12</v>
      </c>
      <c r="D131" s="14">
        <v>2</v>
      </c>
      <c r="E131" s="15">
        <v>1145300</v>
      </c>
      <c r="F131" s="29">
        <f t="shared" si="7"/>
        <v>2290600</v>
      </c>
    </row>
    <row r="132" spans="1:6" ht="67.5" x14ac:dyDescent="0.25">
      <c r="A132" s="25"/>
      <c r="B132" s="31" t="s">
        <v>138</v>
      </c>
      <c r="C132" s="13" t="s">
        <v>12</v>
      </c>
      <c r="D132" s="14">
        <v>2</v>
      </c>
      <c r="E132" s="15">
        <v>785900</v>
      </c>
      <c r="F132" s="29">
        <f t="shared" si="7"/>
        <v>1571800</v>
      </c>
    </row>
    <row r="133" spans="1:6" ht="78.75" x14ac:dyDescent="0.25">
      <c r="A133" s="25"/>
      <c r="B133" s="31" t="s">
        <v>139</v>
      </c>
      <c r="C133" s="13" t="s">
        <v>12</v>
      </c>
      <c r="D133" s="14">
        <v>2</v>
      </c>
      <c r="E133" s="15">
        <v>305400</v>
      </c>
      <c r="F133" s="29">
        <f t="shared" si="7"/>
        <v>610800</v>
      </c>
    </row>
    <row r="134" spans="1:6" ht="56.25" x14ac:dyDescent="0.25">
      <c r="A134" s="25"/>
      <c r="B134" s="31" t="s">
        <v>140</v>
      </c>
      <c r="C134" s="13" t="s">
        <v>12</v>
      </c>
      <c r="D134" s="14">
        <v>4</v>
      </c>
      <c r="E134" s="15">
        <v>171000</v>
      </c>
      <c r="F134" s="29">
        <f t="shared" si="7"/>
        <v>684000</v>
      </c>
    </row>
    <row r="135" spans="1:6" ht="56.25" x14ac:dyDescent="0.25">
      <c r="A135" s="25"/>
      <c r="B135" s="31" t="s">
        <v>141</v>
      </c>
      <c r="C135" s="13" t="s">
        <v>12</v>
      </c>
      <c r="D135" s="14">
        <v>2</v>
      </c>
      <c r="E135" s="15">
        <v>91000</v>
      </c>
      <c r="F135" s="29">
        <f t="shared" si="7"/>
        <v>182000</v>
      </c>
    </row>
    <row r="136" spans="1:6" ht="56.25" x14ac:dyDescent="0.25">
      <c r="A136" s="25"/>
      <c r="B136" s="31" t="s">
        <v>142</v>
      </c>
      <c r="C136" s="13" t="s">
        <v>12</v>
      </c>
      <c r="D136" s="14">
        <v>6</v>
      </c>
      <c r="E136" s="15">
        <v>93500</v>
      </c>
      <c r="F136" s="29">
        <f t="shared" si="7"/>
        <v>561000</v>
      </c>
    </row>
    <row r="137" spans="1:6" ht="56.25" x14ac:dyDescent="0.25">
      <c r="A137" s="25"/>
      <c r="B137" s="31" t="s">
        <v>143</v>
      </c>
      <c r="C137" s="13" t="s">
        <v>12</v>
      </c>
      <c r="D137" s="14">
        <v>2</v>
      </c>
      <c r="E137" s="15">
        <v>37200</v>
      </c>
      <c r="F137" s="29">
        <f t="shared" si="7"/>
        <v>74400</v>
      </c>
    </row>
    <row r="138" spans="1:6" ht="56.25" x14ac:dyDescent="0.25">
      <c r="A138" s="25"/>
      <c r="B138" s="31" t="s">
        <v>144</v>
      </c>
      <c r="C138" s="13" t="s">
        <v>12</v>
      </c>
      <c r="D138" s="14">
        <v>28</v>
      </c>
      <c r="E138" s="15">
        <v>32900</v>
      </c>
      <c r="F138" s="29">
        <f t="shared" si="7"/>
        <v>921200</v>
      </c>
    </row>
    <row r="139" spans="1:6" ht="90" x14ac:dyDescent="0.25">
      <c r="A139" s="25"/>
      <c r="B139" s="31" t="s">
        <v>145</v>
      </c>
      <c r="C139" s="13" t="s">
        <v>12</v>
      </c>
      <c r="D139" s="14">
        <v>2</v>
      </c>
      <c r="E139" s="15">
        <v>302300</v>
      </c>
      <c r="F139" s="29">
        <f t="shared" si="7"/>
        <v>604600</v>
      </c>
    </row>
    <row r="140" spans="1:6" ht="67.5" x14ac:dyDescent="0.25">
      <c r="A140" s="25"/>
      <c r="B140" s="31" t="s">
        <v>146</v>
      </c>
      <c r="C140" s="13" t="s">
        <v>12</v>
      </c>
      <c r="D140" s="14">
        <v>6</v>
      </c>
      <c r="E140" s="15">
        <v>32900</v>
      </c>
      <c r="F140" s="29">
        <f t="shared" si="7"/>
        <v>197400</v>
      </c>
    </row>
    <row r="141" spans="1:6" ht="22.5" x14ac:dyDescent="0.25">
      <c r="A141" s="25"/>
      <c r="B141" s="31" t="s">
        <v>147</v>
      </c>
      <c r="C141" s="13" t="s">
        <v>12</v>
      </c>
      <c r="D141" s="14">
        <v>6</v>
      </c>
      <c r="E141" s="15">
        <v>156000</v>
      </c>
      <c r="F141" s="29">
        <f t="shared" si="7"/>
        <v>936000</v>
      </c>
    </row>
    <row r="142" spans="1:6" ht="33.75" x14ac:dyDescent="0.25">
      <c r="A142" s="25"/>
      <c r="B142" s="31" t="s">
        <v>148</v>
      </c>
      <c r="C142" s="13" t="s">
        <v>149</v>
      </c>
      <c r="D142" s="14">
        <v>2</v>
      </c>
      <c r="E142" s="15">
        <v>3345000</v>
      </c>
      <c r="F142" s="29">
        <f t="shared" si="7"/>
        <v>6690000</v>
      </c>
    </row>
    <row r="143" spans="1:6" x14ac:dyDescent="0.25">
      <c r="A143" s="25"/>
      <c r="B143" s="31" t="s">
        <v>150</v>
      </c>
      <c r="C143" s="13" t="s">
        <v>70</v>
      </c>
      <c r="D143" s="14">
        <v>24</v>
      </c>
      <c r="E143" s="15">
        <v>12200</v>
      </c>
      <c r="F143" s="29">
        <f t="shared" si="7"/>
        <v>292800</v>
      </c>
    </row>
    <row r="144" spans="1:6" x14ac:dyDescent="0.25">
      <c r="A144" s="25"/>
      <c r="B144" s="31" t="s">
        <v>151</v>
      </c>
      <c r="C144" s="13" t="s">
        <v>70</v>
      </c>
      <c r="D144" s="14">
        <v>80</v>
      </c>
      <c r="E144" s="15">
        <v>16700</v>
      </c>
      <c r="F144" s="29">
        <f t="shared" si="7"/>
        <v>1336000</v>
      </c>
    </row>
    <row r="145" spans="1:6" ht="33.75" x14ac:dyDescent="0.25">
      <c r="A145" s="21">
        <v>12</v>
      </c>
      <c r="B145" s="22" t="s">
        <v>152</v>
      </c>
      <c r="C145" s="21"/>
      <c r="D145" s="23"/>
      <c r="E145" s="24"/>
      <c r="F145" s="10">
        <f>SUM(F146:F161)</f>
        <v>32941400</v>
      </c>
    </row>
    <row r="146" spans="1:6" ht="56.25" x14ac:dyDescent="0.25">
      <c r="A146" s="50"/>
      <c r="B146" s="47" t="s">
        <v>153</v>
      </c>
      <c r="C146" s="51" t="s">
        <v>12</v>
      </c>
      <c r="D146" s="49">
        <v>20</v>
      </c>
      <c r="E146" s="15">
        <v>298500</v>
      </c>
      <c r="F146" s="29">
        <f>D146*E146</f>
        <v>5970000</v>
      </c>
    </row>
    <row r="147" spans="1:6" ht="56.25" x14ac:dyDescent="0.25">
      <c r="A147" s="50"/>
      <c r="B147" s="47" t="s">
        <v>154</v>
      </c>
      <c r="C147" s="51" t="s">
        <v>12</v>
      </c>
      <c r="D147" s="49">
        <v>20</v>
      </c>
      <c r="E147" s="15">
        <v>245000</v>
      </c>
      <c r="F147" s="29">
        <f t="shared" ref="F147:F161" si="8">D147*E147</f>
        <v>4900000</v>
      </c>
    </row>
    <row r="148" spans="1:6" ht="45" x14ac:dyDescent="0.25">
      <c r="A148" s="50"/>
      <c r="B148" s="47" t="s">
        <v>155</v>
      </c>
      <c r="C148" s="51" t="s">
        <v>12</v>
      </c>
      <c r="D148" s="49">
        <v>2</v>
      </c>
      <c r="E148" s="15">
        <v>1045000</v>
      </c>
      <c r="F148" s="29">
        <f t="shared" si="8"/>
        <v>2090000</v>
      </c>
    </row>
    <row r="149" spans="1:6" ht="22.5" x14ac:dyDescent="0.25">
      <c r="A149" s="50"/>
      <c r="B149" s="47" t="s">
        <v>156</v>
      </c>
      <c r="C149" s="51" t="s">
        <v>12</v>
      </c>
      <c r="D149" s="49">
        <v>2</v>
      </c>
      <c r="E149" s="15">
        <v>425000</v>
      </c>
      <c r="F149" s="29">
        <f t="shared" si="8"/>
        <v>850000</v>
      </c>
    </row>
    <row r="150" spans="1:6" ht="22.5" x14ac:dyDescent="0.25">
      <c r="A150" s="50"/>
      <c r="B150" s="47" t="s">
        <v>157</v>
      </c>
      <c r="C150" s="51" t="s">
        <v>12</v>
      </c>
      <c r="D150" s="49">
        <v>44</v>
      </c>
      <c r="E150" s="15">
        <v>48500</v>
      </c>
      <c r="F150" s="29">
        <f t="shared" si="8"/>
        <v>2134000</v>
      </c>
    </row>
    <row r="151" spans="1:6" ht="33.75" x14ac:dyDescent="0.25">
      <c r="A151" s="50"/>
      <c r="B151" s="47" t="s">
        <v>158</v>
      </c>
      <c r="C151" s="51" t="s">
        <v>12</v>
      </c>
      <c r="D151" s="49">
        <v>22</v>
      </c>
      <c r="E151" s="15">
        <v>34000</v>
      </c>
      <c r="F151" s="29">
        <f t="shared" si="8"/>
        <v>748000</v>
      </c>
    </row>
    <row r="152" spans="1:6" ht="33.75" x14ac:dyDescent="0.25">
      <c r="A152" s="50"/>
      <c r="B152" s="47" t="s">
        <v>159</v>
      </c>
      <c r="C152" s="51" t="s">
        <v>12</v>
      </c>
      <c r="D152" s="49">
        <v>22</v>
      </c>
      <c r="E152" s="15">
        <v>32300</v>
      </c>
      <c r="F152" s="29">
        <f t="shared" si="8"/>
        <v>710600</v>
      </c>
    </row>
    <row r="153" spans="1:6" ht="33.75" x14ac:dyDescent="0.25">
      <c r="A153" s="50"/>
      <c r="B153" s="47" t="s">
        <v>160</v>
      </c>
      <c r="C153" s="51" t="s">
        <v>12</v>
      </c>
      <c r="D153" s="49">
        <v>22</v>
      </c>
      <c r="E153" s="15">
        <v>40400</v>
      </c>
      <c r="F153" s="29">
        <f t="shared" si="8"/>
        <v>888800</v>
      </c>
    </row>
    <row r="154" spans="1:6" ht="45" x14ac:dyDescent="0.25">
      <c r="A154" s="50"/>
      <c r="B154" s="47" t="s">
        <v>161</v>
      </c>
      <c r="C154" s="51" t="s">
        <v>12</v>
      </c>
      <c r="D154" s="49">
        <v>2</v>
      </c>
      <c r="E154" s="15">
        <v>1485900</v>
      </c>
      <c r="F154" s="29">
        <f t="shared" si="8"/>
        <v>2971800</v>
      </c>
    </row>
    <row r="155" spans="1:6" ht="45" x14ac:dyDescent="0.25">
      <c r="A155" s="50"/>
      <c r="B155" s="47" t="s">
        <v>162</v>
      </c>
      <c r="C155" s="51" t="s">
        <v>12</v>
      </c>
      <c r="D155" s="49">
        <v>2</v>
      </c>
      <c r="E155" s="15">
        <v>305400</v>
      </c>
      <c r="F155" s="29">
        <f t="shared" si="8"/>
        <v>610800</v>
      </c>
    </row>
    <row r="156" spans="1:6" ht="22.5" x14ac:dyDescent="0.25">
      <c r="A156" s="50"/>
      <c r="B156" s="47" t="s">
        <v>163</v>
      </c>
      <c r="C156" s="51" t="s">
        <v>12</v>
      </c>
      <c r="D156" s="49">
        <v>4</v>
      </c>
      <c r="E156" s="15">
        <v>96400</v>
      </c>
      <c r="F156" s="29">
        <f t="shared" si="8"/>
        <v>385600</v>
      </c>
    </row>
    <row r="157" spans="1:6" ht="22.5" x14ac:dyDescent="0.25">
      <c r="A157" s="50"/>
      <c r="B157" s="47" t="s">
        <v>164</v>
      </c>
      <c r="C157" s="51" t="s">
        <v>12</v>
      </c>
      <c r="D157" s="49">
        <v>22</v>
      </c>
      <c r="E157" s="15">
        <v>83900</v>
      </c>
      <c r="F157" s="29">
        <f t="shared" si="8"/>
        <v>1845800</v>
      </c>
    </row>
    <row r="158" spans="1:6" ht="22.5" x14ac:dyDescent="0.25">
      <c r="A158" s="50"/>
      <c r="B158" s="47" t="s">
        <v>165</v>
      </c>
      <c r="C158" s="51" t="s">
        <v>166</v>
      </c>
      <c r="D158" s="49">
        <v>1</v>
      </c>
      <c r="E158" s="15">
        <v>1340000</v>
      </c>
      <c r="F158" s="29">
        <f t="shared" si="8"/>
        <v>1340000</v>
      </c>
    </row>
    <row r="159" spans="1:6" ht="22.5" x14ac:dyDescent="0.25">
      <c r="A159" s="50"/>
      <c r="B159" s="47" t="s">
        <v>167</v>
      </c>
      <c r="C159" s="51" t="s">
        <v>166</v>
      </c>
      <c r="D159" s="49">
        <v>1</v>
      </c>
      <c r="E159" s="15">
        <v>1340000</v>
      </c>
      <c r="F159" s="29">
        <f t="shared" si="8"/>
        <v>1340000</v>
      </c>
    </row>
    <row r="160" spans="1:6" ht="45" x14ac:dyDescent="0.25">
      <c r="A160" s="50"/>
      <c r="B160" s="47" t="s">
        <v>168</v>
      </c>
      <c r="C160" s="51" t="s">
        <v>12</v>
      </c>
      <c r="D160" s="49">
        <v>40</v>
      </c>
      <c r="E160" s="15">
        <v>70000</v>
      </c>
      <c r="F160" s="29">
        <f t="shared" si="8"/>
        <v>2800000</v>
      </c>
    </row>
    <row r="161" spans="1:6" ht="22.5" x14ac:dyDescent="0.25">
      <c r="A161" s="50"/>
      <c r="B161" s="47" t="s">
        <v>169</v>
      </c>
      <c r="C161" s="51" t="s">
        <v>12</v>
      </c>
      <c r="D161" s="49">
        <v>40</v>
      </c>
      <c r="E161" s="15">
        <v>83900</v>
      </c>
      <c r="F161" s="29">
        <f t="shared" si="8"/>
        <v>3356000</v>
      </c>
    </row>
    <row r="162" spans="1:6" x14ac:dyDescent="0.25">
      <c r="A162" s="52">
        <v>13</v>
      </c>
      <c r="B162" s="22" t="s">
        <v>170</v>
      </c>
      <c r="C162" s="21"/>
      <c r="D162" s="23"/>
      <c r="E162" s="24"/>
      <c r="F162" s="10">
        <f>SUM(F163:F168)</f>
        <v>9453400</v>
      </c>
    </row>
    <row r="163" spans="1:6" ht="56.25" x14ac:dyDescent="0.25">
      <c r="A163" s="53"/>
      <c r="B163" s="31" t="s">
        <v>171</v>
      </c>
      <c r="C163" s="13" t="s">
        <v>12</v>
      </c>
      <c r="D163" s="14">
        <v>14</v>
      </c>
      <c r="E163" s="15">
        <v>175600</v>
      </c>
      <c r="F163" s="29">
        <f t="shared" ref="F163:F168" si="9">D163*E163</f>
        <v>2458400</v>
      </c>
    </row>
    <row r="164" spans="1:6" ht="56.25" x14ac:dyDescent="0.25">
      <c r="A164" s="53"/>
      <c r="B164" s="31" t="s">
        <v>172</v>
      </c>
      <c r="C164" s="13" t="s">
        <v>12</v>
      </c>
      <c r="D164" s="14">
        <v>4</v>
      </c>
      <c r="E164" s="15">
        <v>345000</v>
      </c>
      <c r="F164" s="29">
        <f t="shared" si="9"/>
        <v>1380000</v>
      </c>
    </row>
    <row r="165" spans="1:6" ht="101.25" x14ac:dyDescent="0.25">
      <c r="A165" s="53"/>
      <c r="B165" s="31" t="s">
        <v>173</v>
      </c>
      <c r="C165" s="13" t="s">
        <v>12</v>
      </c>
      <c r="D165" s="14">
        <v>8</v>
      </c>
      <c r="E165" s="15">
        <v>185000</v>
      </c>
      <c r="F165" s="29">
        <f t="shared" si="9"/>
        <v>1480000</v>
      </c>
    </row>
    <row r="166" spans="1:6" ht="33.75" x14ac:dyDescent="0.25">
      <c r="A166" s="53"/>
      <c r="B166" s="31" t="s">
        <v>174</v>
      </c>
      <c r="C166" s="13" t="s">
        <v>12</v>
      </c>
      <c r="D166" s="14">
        <v>6</v>
      </c>
      <c r="E166" s="32">
        <v>425000</v>
      </c>
      <c r="F166" s="29">
        <f t="shared" si="9"/>
        <v>2550000</v>
      </c>
    </row>
    <row r="167" spans="1:6" ht="67.5" x14ac:dyDescent="0.25">
      <c r="A167" s="53"/>
      <c r="B167" s="31" t="s">
        <v>175</v>
      </c>
      <c r="C167" s="13" t="s">
        <v>12</v>
      </c>
      <c r="D167" s="14">
        <v>1</v>
      </c>
      <c r="E167" s="32">
        <v>425000</v>
      </c>
      <c r="F167" s="29">
        <f t="shared" si="9"/>
        <v>425000</v>
      </c>
    </row>
    <row r="168" spans="1:6" ht="45" x14ac:dyDescent="0.25">
      <c r="A168" s="53"/>
      <c r="B168" s="31" t="s">
        <v>176</v>
      </c>
      <c r="C168" s="13" t="s">
        <v>12</v>
      </c>
      <c r="D168" s="14">
        <v>8</v>
      </c>
      <c r="E168" s="32">
        <v>145000</v>
      </c>
      <c r="F168" s="29">
        <f t="shared" si="9"/>
        <v>1160000</v>
      </c>
    </row>
    <row r="169" spans="1:6" x14ac:dyDescent="0.25">
      <c r="A169" s="54">
        <v>14</v>
      </c>
      <c r="B169" s="55" t="s">
        <v>177</v>
      </c>
      <c r="C169" s="56"/>
      <c r="D169" s="56"/>
      <c r="E169" s="57"/>
      <c r="F169" s="58">
        <f>SUM(F170:F175)</f>
        <v>7787200</v>
      </c>
    </row>
    <row r="170" spans="1:6" ht="101.25" x14ac:dyDescent="0.25">
      <c r="A170" s="59"/>
      <c r="B170" s="40" t="s">
        <v>178</v>
      </c>
      <c r="C170" s="48" t="s">
        <v>54</v>
      </c>
      <c r="D170" s="60">
        <v>4</v>
      </c>
      <c r="E170" s="61">
        <v>895000</v>
      </c>
      <c r="F170" s="29">
        <f>D170*E170</f>
        <v>3580000</v>
      </c>
    </row>
    <row r="171" spans="1:6" ht="56.25" x14ac:dyDescent="0.25">
      <c r="A171" s="59"/>
      <c r="B171" s="40" t="s">
        <v>179</v>
      </c>
      <c r="C171" s="48" t="s">
        <v>54</v>
      </c>
      <c r="D171" s="60">
        <v>2</v>
      </c>
      <c r="E171" s="61">
        <v>794000</v>
      </c>
      <c r="F171" s="29">
        <f t="shared" ref="F171:F186" si="10">D171*E171</f>
        <v>1588000</v>
      </c>
    </row>
    <row r="172" spans="1:6" ht="67.5" x14ac:dyDescent="0.25">
      <c r="A172" s="59"/>
      <c r="B172" s="40" t="s">
        <v>180</v>
      </c>
      <c r="C172" s="48" t="s">
        <v>54</v>
      </c>
      <c r="D172" s="60">
        <v>2</v>
      </c>
      <c r="E172" s="61">
        <v>456000</v>
      </c>
      <c r="F172" s="29">
        <f t="shared" si="10"/>
        <v>912000</v>
      </c>
    </row>
    <row r="173" spans="1:6" ht="56.25" x14ac:dyDescent="0.25">
      <c r="A173" s="59"/>
      <c r="B173" s="40" t="s">
        <v>181</v>
      </c>
      <c r="C173" s="48" t="s">
        <v>182</v>
      </c>
      <c r="D173" s="60">
        <v>28</v>
      </c>
      <c r="E173" s="61">
        <v>34200</v>
      </c>
      <c r="F173" s="29">
        <f t="shared" si="10"/>
        <v>957600</v>
      </c>
    </row>
    <row r="174" spans="1:6" ht="45" x14ac:dyDescent="0.25">
      <c r="A174" s="59"/>
      <c r="B174" s="40" t="s">
        <v>183</v>
      </c>
      <c r="C174" s="48" t="s">
        <v>182</v>
      </c>
      <c r="D174" s="60">
        <v>44</v>
      </c>
      <c r="E174" s="61">
        <v>4800</v>
      </c>
      <c r="F174" s="29">
        <f t="shared" si="10"/>
        <v>211200</v>
      </c>
    </row>
    <row r="175" spans="1:6" ht="67.5" x14ac:dyDescent="0.25">
      <c r="A175" s="59"/>
      <c r="B175" s="40" t="s">
        <v>184</v>
      </c>
      <c r="C175" s="48" t="s">
        <v>54</v>
      </c>
      <c r="D175" s="60">
        <v>4</v>
      </c>
      <c r="E175" s="61">
        <v>134600</v>
      </c>
      <c r="F175" s="29">
        <f t="shared" si="10"/>
        <v>538400</v>
      </c>
    </row>
    <row r="176" spans="1:6" ht="22.5" x14ac:dyDescent="0.25">
      <c r="A176" s="54">
        <v>15</v>
      </c>
      <c r="B176" s="55" t="s">
        <v>185</v>
      </c>
      <c r="C176" s="56"/>
      <c r="D176" s="56"/>
      <c r="E176" s="57"/>
      <c r="F176" s="58"/>
    </row>
    <row r="177" spans="1:6" x14ac:dyDescent="0.25">
      <c r="A177" s="62"/>
      <c r="B177" s="63" t="s">
        <v>186</v>
      </c>
      <c r="C177" s="64" t="s">
        <v>70</v>
      </c>
      <c r="D177" s="60">
        <v>20</v>
      </c>
      <c r="E177" s="61">
        <v>182500</v>
      </c>
      <c r="F177" s="29">
        <f t="shared" si="10"/>
        <v>3650000</v>
      </c>
    </row>
    <row r="178" spans="1:6" x14ac:dyDescent="0.25">
      <c r="A178" s="62"/>
      <c r="B178" s="63" t="s">
        <v>187</v>
      </c>
      <c r="C178" s="64" t="s">
        <v>12</v>
      </c>
      <c r="D178" s="60">
        <v>8</v>
      </c>
      <c r="E178" s="61">
        <v>72500</v>
      </c>
      <c r="F178" s="29">
        <f t="shared" si="10"/>
        <v>580000</v>
      </c>
    </row>
    <row r="179" spans="1:6" x14ac:dyDescent="0.25">
      <c r="A179" s="62"/>
      <c r="B179" s="63" t="s">
        <v>188</v>
      </c>
      <c r="C179" s="64" t="s">
        <v>12</v>
      </c>
      <c r="D179" s="60">
        <v>8</v>
      </c>
      <c r="E179" s="61">
        <v>83500</v>
      </c>
      <c r="F179" s="29">
        <f t="shared" si="10"/>
        <v>668000</v>
      </c>
    </row>
    <row r="180" spans="1:6" ht="33.75" x14ac:dyDescent="0.25">
      <c r="A180" s="62"/>
      <c r="B180" s="40" t="s">
        <v>189</v>
      </c>
      <c r="C180" s="64" t="s">
        <v>12</v>
      </c>
      <c r="D180" s="60">
        <v>4</v>
      </c>
      <c r="E180" s="61">
        <v>117300</v>
      </c>
      <c r="F180" s="29">
        <f t="shared" si="10"/>
        <v>469200</v>
      </c>
    </row>
    <row r="181" spans="1:6" x14ac:dyDescent="0.25">
      <c r="A181" s="62"/>
      <c r="B181" s="63" t="s">
        <v>190</v>
      </c>
      <c r="C181" s="64" t="s">
        <v>12</v>
      </c>
      <c r="D181" s="60">
        <v>4</v>
      </c>
      <c r="E181" s="61">
        <v>38600</v>
      </c>
      <c r="F181" s="29">
        <f t="shared" si="10"/>
        <v>154400</v>
      </c>
    </row>
    <row r="182" spans="1:6" ht="45" x14ac:dyDescent="0.25">
      <c r="A182" s="62"/>
      <c r="B182" s="40" t="s">
        <v>191</v>
      </c>
      <c r="C182" s="64" t="s">
        <v>12</v>
      </c>
      <c r="D182" s="60">
        <v>4</v>
      </c>
      <c r="E182" s="61">
        <v>92800</v>
      </c>
      <c r="F182" s="29">
        <f t="shared" si="10"/>
        <v>371200</v>
      </c>
    </row>
    <row r="183" spans="1:6" x14ac:dyDescent="0.25">
      <c r="A183" s="62"/>
      <c r="B183" s="63" t="s">
        <v>192</v>
      </c>
      <c r="C183" s="64" t="s">
        <v>12</v>
      </c>
      <c r="D183" s="60">
        <v>4</v>
      </c>
      <c r="E183" s="61">
        <v>56400</v>
      </c>
      <c r="F183" s="29">
        <f t="shared" si="10"/>
        <v>225600</v>
      </c>
    </row>
    <row r="184" spans="1:6" x14ac:dyDescent="0.25">
      <c r="A184" s="62"/>
      <c r="B184" s="63" t="s">
        <v>193</v>
      </c>
      <c r="C184" s="64" t="s">
        <v>12</v>
      </c>
      <c r="D184" s="60">
        <v>4</v>
      </c>
      <c r="E184" s="61">
        <v>19500</v>
      </c>
      <c r="F184" s="29">
        <f t="shared" si="10"/>
        <v>78000</v>
      </c>
    </row>
    <row r="185" spans="1:6" x14ac:dyDescent="0.25">
      <c r="A185" s="62"/>
      <c r="B185" s="63" t="s">
        <v>194</v>
      </c>
      <c r="C185" s="64" t="s">
        <v>12</v>
      </c>
      <c r="D185" s="60">
        <v>8</v>
      </c>
      <c r="E185" s="61">
        <v>23200</v>
      </c>
      <c r="F185" s="29">
        <f t="shared" si="10"/>
        <v>185600</v>
      </c>
    </row>
    <row r="186" spans="1:6" x14ac:dyDescent="0.25">
      <c r="A186" s="62"/>
      <c r="B186" s="63" t="s">
        <v>195</v>
      </c>
      <c r="C186" s="64" t="s">
        <v>70</v>
      </c>
      <c r="D186" s="60">
        <v>6</v>
      </c>
      <c r="E186" s="61">
        <v>18400</v>
      </c>
      <c r="F186" s="29">
        <f t="shared" si="10"/>
        <v>110400</v>
      </c>
    </row>
    <row r="187" spans="1:6" x14ac:dyDescent="0.25">
      <c r="A187" s="52">
        <v>16</v>
      </c>
      <c r="B187" s="34" t="s">
        <v>196</v>
      </c>
      <c r="C187" s="21"/>
      <c r="D187" s="23"/>
      <c r="E187" s="24"/>
      <c r="F187" s="10">
        <f>SUM(F188:F193)</f>
        <v>6776500</v>
      </c>
    </row>
    <row r="188" spans="1:6" ht="22.5" x14ac:dyDescent="0.25">
      <c r="A188" s="50"/>
      <c r="B188" s="36" t="s">
        <v>197</v>
      </c>
      <c r="C188" s="65" t="s">
        <v>198</v>
      </c>
      <c r="D188" s="14">
        <v>1</v>
      </c>
      <c r="E188" s="66">
        <v>2458000</v>
      </c>
      <c r="F188" s="29">
        <f t="shared" ref="F188:F193" si="11">D188*E188</f>
        <v>2458000</v>
      </c>
    </row>
    <row r="189" spans="1:6" x14ac:dyDescent="0.25">
      <c r="A189" s="50"/>
      <c r="B189" s="36" t="s">
        <v>199</v>
      </c>
      <c r="C189" s="65" t="s">
        <v>198</v>
      </c>
      <c r="D189" s="14">
        <v>1</v>
      </c>
      <c r="E189" s="66">
        <v>1450000</v>
      </c>
      <c r="F189" s="29">
        <f t="shared" si="11"/>
        <v>1450000</v>
      </c>
    </row>
    <row r="190" spans="1:6" ht="22.5" x14ac:dyDescent="0.25">
      <c r="A190" s="50"/>
      <c r="B190" s="36" t="s">
        <v>200</v>
      </c>
      <c r="C190" s="65" t="s">
        <v>198</v>
      </c>
      <c r="D190" s="14">
        <v>1</v>
      </c>
      <c r="E190" s="66">
        <v>654500</v>
      </c>
      <c r="F190" s="29">
        <f t="shared" si="11"/>
        <v>654500</v>
      </c>
    </row>
    <row r="191" spans="1:6" ht="22.5" x14ac:dyDescent="0.25">
      <c r="A191" s="67"/>
      <c r="B191" s="68" t="s">
        <v>201</v>
      </c>
      <c r="C191" s="69" t="s">
        <v>198</v>
      </c>
      <c r="D191" s="70">
        <v>0</v>
      </c>
      <c r="E191" s="71">
        <v>2858000</v>
      </c>
      <c r="F191" s="72">
        <f t="shared" si="11"/>
        <v>0</v>
      </c>
    </row>
    <row r="192" spans="1:6" ht="33.75" x14ac:dyDescent="0.25">
      <c r="A192" s="50"/>
      <c r="B192" s="36" t="s">
        <v>202</v>
      </c>
      <c r="C192" s="65" t="s">
        <v>198</v>
      </c>
      <c r="D192" s="14">
        <v>1</v>
      </c>
      <c r="E192" s="66">
        <v>1658000</v>
      </c>
      <c r="F192" s="29">
        <f t="shared" si="11"/>
        <v>1658000</v>
      </c>
    </row>
    <row r="193" spans="1:6" ht="22.5" x14ac:dyDescent="0.25">
      <c r="A193" s="50"/>
      <c r="B193" s="36" t="s">
        <v>203</v>
      </c>
      <c r="C193" s="65" t="s">
        <v>198</v>
      </c>
      <c r="D193" s="14">
        <v>1</v>
      </c>
      <c r="E193" s="66">
        <v>556000</v>
      </c>
      <c r="F193" s="29">
        <f t="shared" si="11"/>
        <v>556000</v>
      </c>
    </row>
    <row r="194" spans="1:6" x14ac:dyDescent="0.25">
      <c r="A194" s="21">
        <v>17</v>
      </c>
      <c r="B194" s="22" t="s">
        <v>204</v>
      </c>
      <c r="C194" s="21"/>
      <c r="D194" s="23"/>
      <c r="E194" s="24"/>
      <c r="F194" s="10">
        <f>SUM(F195:F196)</f>
        <v>4900000</v>
      </c>
    </row>
    <row r="195" spans="1:6" ht="90" x14ac:dyDescent="0.25">
      <c r="A195" s="25"/>
      <c r="B195" s="31" t="s">
        <v>205</v>
      </c>
      <c r="C195" s="13" t="s">
        <v>206</v>
      </c>
      <c r="D195" s="14">
        <v>1</v>
      </c>
      <c r="E195" s="73">
        <v>1450000</v>
      </c>
      <c r="F195" s="74">
        <f>D195*E195</f>
        <v>1450000</v>
      </c>
    </row>
    <row r="196" spans="1:6" ht="67.5" x14ac:dyDescent="0.25">
      <c r="A196" s="25"/>
      <c r="B196" s="31" t="s">
        <v>207</v>
      </c>
      <c r="C196" s="13" t="s">
        <v>208</v>
      </c>
      <c r="D196" s="14">
        <v>1</v>
      </c>
      <c r="E196" s="75">
        <v>3450000</v>
      </c>
      <c r="F196" s="74">
        <f>D196*E196</f>
        <v>3450000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2026-06-04T01:55:10Z</dcterms:created>
  <dcterms:modified xsi:type="dcterms:W3CDTF">2026-06-04T01:59:50Z</dcterms:modified>
</cp:coreProperties>
</file>