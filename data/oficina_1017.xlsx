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Tesis\"/>
    </mc:Choice>
  </mc:AlternateContent>
  <xr:revisionPtr revIDLastSave="0" documentId="13_ncr:1_{4F9093B8-CBB3-45F4-B032-01C0084F1D3C}" xr6:coauthVersionLast="47" xr6:coauthVersionMax="47" xr10:uidLastSave="{00000000-0000-0000-0000-000000000000}"/>
  <bookViews>
    <workbookView xWindow="-120" yWindow="-120" windowWidth="29040" windowHeight="15720" xr2:uid="{D5C63FE6-A303-42CE-9C6E-EEBC1A6575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8" i="1" l="1"/>
  <c r="D35" i="1"/>
  <c r="D25" i="1"/>
  <c r="D21" i="1"/>
  <c r="D18" i="1"/>
  <c r="D17" i="1"/>
  <c r="D15" i="1"/>
  <c r="D14" i="1"/>
  <c r="D13" i="1"/>
  <c r="E51" i="1"/>
  <c r="E14" i="1"/>
  <c r="F52" i="1"/>
  <c r="F50" i="1"/>
  <c r="F49" i="1"/>
  <c r="F46" i="1"/>
  <c r="F45" i="1"/>
  <c r="F44" i="1"/>
  <c r="F42" i="1"/>
  <c r="F41" i="1"/>
  <c r="F40" i="1"/>
  <c r="F39" i="1"/>
  <c r="F38" i="1"/>
  <c r="F37" i="1"/>
  <c r="F36" i="1"/>
  <c r="F34" i="1"/>
  <c r="F32" i="1"/>
  <c r="F31" i="1"/>
  <c r="F30" i="1"/>
  <c r="F29" i="1"/>
  <c r="F28" i="1"/>
  <c r="F27" i="1"/>
  <c r="F24" i="1"/>
  <c r="F23" i="1"/>
  <c r="F20" i="1"/>
  <c r="F19" i="1"/>
  <c r="F11" i="1"/>
  <c r="F10" i="1"/>
  <c r="F9" i="1"/>
  <c r="F8" i="1"/>
  <c r="F7" i="1"/>
  <c r="F6" i="1"/>
  <c r="F5" i="1"/>
  <c r="F4" i="1"/>
  <c r="F3" i="1"/>
  <c r="F48" i="1" l="1"/>
  <c r="F35" i="1"/>
  <c r="F25" i="1"/>
  <c r="F21" i="1"/>
  <c r="F18" i="1"/>
  <c r="F17" i="1"/>
  <c r="F15" i="1"/>
  <c r="F14" i="1"/>
  <c r="F13" i="1"/>
  <c r="F5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153A737B-D86B-4E18-A791-6FBC1F9285C5}">
      <text>
        <r>
          <rPr>
            <sz val="11"/>
            <color theme="1"/>
            <rFont val="Aptos Narrow"/>
            <family val="2"/>
            <scheme val="minor"/>
          </rPr>
          <t>======
ID#AAAA6spMLhw
Erik Durfay Ricaurte Castillo    (2023-09-25 20:41:48)
Unidad de medida del item a contratar</t>
        </r>
      </text>
    </comment>
  </commentList>
</comments>
</file>

<file path=xl/sharedStrings.xml><?xml version="1.0" encoding="utf-8"?>
<sst xmlns="http://schemas.openxmlformats.org/spreadsheetml/2006/main" count="102" uniqueCount="62">
  <si>
    <t>PRELIMINARES</t>
  </si>
  <si>
    <t>Desmonte de piso</t>
  </si>
  <si>
    <t>M2</t>
  </si>
  <si>
    <t>Desmonte de madera en antepecho</t>
  </si>
  <si>
    <t>UN</t>
  </si>
  <si>
    <t xml:space="preserve">Desmonte de guarda escobas </t>
  </si>
  <si>
    <t>ML</t>
  </si>
  <si>
    <t>Regata en muros y pisos</t>
  </si>
  <si>
    <t>Desmonte de cielo raso</t>
  </si>
  <si>
    <t>Desmonte de redes eléctricas y de datos existentes</t>
  </si>
  <si>
    <t>GL</t>
  </si>
  <si>
    <t>Material protección</t>
  </si>
  <si>
    <t>Movimiento de materiales</t>
  </si>
  <si>
    <t>Dia</t>
  </si>
  <si>
    <t>Retiro de escombros</t>
  </si>
  <si>
    <t>MAMPOSTERIAS</t>
  </si>
  <si>
    <t xml:space="preserve">Muros en drywall de 12 cm </t>
  </si>
  <si>
    <t xml:space="preserve">Dinteles en drywall </t>
  </si>
  <si>
    <t>PAÑETES - ENCHAPES - CIELORASOS</t>
  </si>
  <si>
    <t>Filos de muros y columnas</t>
  </si>
  <si>
    <t>Resanes de regatas en muros y pisos</t>
  </si>
  <si>
    <t>Cielorraso en Drywall</t>
  </si>
  <si>
    <t>Suministro e instalación de tapas de inspección de cielorraso 60 x 60 tipo push</t>
  </si>
  <si>
    <t>Reforzamiento cielo raso y muros para vidrios y puertas</t>
  </si>
  <si>
    <t>4.00</t>
  </si>
  <si>
    <t>PISOS</t>
  </si>
  <si>
    <t>Alistado de piso</t>
  </si>
  <si>
    <t>autonivelante</t>
  </si>
  <si>
    <t>suministro piso tipo rollo según referencia</t>
  </si>
  <si>
    <t>INSTALACION ELECTRICA  Y DATOS</t>
  </si>
  <si>
    <t xml:space="preserve">Salida para cardan doble </t>
  </si>
  <si>
    <t>Salida para iluminación lineal</t>
  </si>
  <si>
    <t>Salida para luminaria cinta led</t>
  </si>
  <si>
    <t>Salida para interruptores sencillos</t>
  </si>
  <si>
    <t>Salida para luminaria hermética</t>
  </si>
  <si>
    <t>instalación iluminaria  balas recesadas (INCLUYE SUMINISTRO)</t>
  </si>
  <si>
    <t>instalación iluminaria  balas recesadas</t>
  </si>
  <si>
    <t>Instalación de luminaria lineal ( INCLUYE SUMINISTRO)</t>
  </si>
  <si>
    <t>Instalación de luminaria lineal cinta led ( INCLUYE SUMINISTRO)</t>
  </si>
  <si>
    <t>Instalación de Luminaria tipo hermética ( INCLUYE SUMINISTRO)</t>
  </si>
  <si>
    <t>Instalación de interruptores dobles (INCLUYE SUMINISTRO)</t>
  </si>
  <si>
    <t>Salida para tomacorriente red normal doble Nema 5-15R 120VAC Levitón standard color blanco o similar en tubería</t>
  </si>
  <si>
    <t>Salida para tomacorriente red GFCI Nema 5-15R 120VAC Levitón standard color blanco o similar en tubería</t>
  </si>
  <si>
    <t xml:space="preserve">Salida para punto de datos en CAT 6A </t>
  </si>
  <si>
    <t>Puntos para red wifi</t>
  </si>
  <si>
    <t>Acondicionamiento de tablero eléctrico</t>
  </si>
  <si>
    <t>CARPINTERIAS ALUMINIO + CRISTALES</t>
  </si>
  <si>
    <t>Suministro e Instalación de Divisiones fijas enmarcadas en vidrio 8mm</t>
  </si>
  <si>
    <t>Suministro e Instalación de Puerta de correr enmarcada en perfilería de aluminio, EN vidrio 8mm</t>
  </si>
  <si>
    <t xml:space="preserve">Puerta Corredera 2.1 x 1.13 </t>
  </si>
  <si>
    <t>PINTURA GENERAL</t>
  </si>
  <si>
    <t>Estuco</t>
  </si>
  <si>
    <t>Pañete</t>
  </si>
  <si>
    <t>Pintura Especial para muros</t>
  </si>
  <si>
    <t xml:space="preserve">Pintura vinílica </t>
  </si>
  <si>
    <t>Pintura Especial para cielo rasos</t>
  </si>
  <si>
    <t>descripcion</t>
  </si>
  <si>
    <t>item</t>
  </si>
  <si>
    <t>un</t>
  </si>
  <si>
    <t>cant</t>
  </si>
  <si>
    <t>valor_unitario</t>
  </si>
  <si>
    <t>valor_parcial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</si>
</sst>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* #,##0.00_-;\-* #,##0.00_-;_-* &quot;-&quot;??_-;_-@"/>
    <numFmt numFmtId="165" formatCode="_-&quot;$&quot;* #,##0_-;\-&quot;$&quot;* #,##0_-;_-&quot;$&quot;* &quot;-&quot;_-;_-@"/>
    <numFmt numFmtId="166" formatCode="_(* #,##0.00_);_(* \(#,##0.00\);_(* &quot;-&quot;??_);_(@_)"/>
    <numFmt numFmtId="167" formatCode="_-&quot;$&quot;* #,##0_-;\-&quot;$&quot;* #,##0_-;_-&quot;$&quot;* &quot;-&quot;??_-;_-@"/>
    <numFmt numFmtId="168" formatCode="&quot;$&quot;#,##0_);[Red]\(&quot;$&quot;#,##0\)"/>
    <numFmt numFmtId="169" formatCode="0."/>
    <numFmt numFmtId="170" formatCode="0.0"/>
    <numFmt numFmtId="171" formatCode="#,##0_ ;\-#,##0\ "/>
    <numFmt numFmtId="172" formatCode="_-&quot;$&quot;\ * #,##0_-;\-&quot;$&quot;\ * #,##0_-;_-&quot;$&quot;\ * &quot;-&quot;??_-;_-@_-"/>
    <numFmt numFmtId="173" formatCode="d&quot; de &quot;mmm&quot; de &quot;yy"/>
    <numFmt numFmtId="175" formatCode="_(* #,##0_);_(* \(#,##0\);_(* \-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11"/>
      <name val="Calibri"/>
      <family val="1"/>
    </font>
    <font>
      <sz val="8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b/>
      <sz val="8"/>
      <name val="Century Gothic"/>
      <family val="2"/>
    </font>
    <font>
      <sz val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5">
    <xf numFmtId="0" fontId="0" fillId="0" borderId="0" xfId="0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3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/>
    <xf numFmtId="166" fontId="4" fillId="0" borderId="1" xfId="0" applyNumberFormat="1" applyFont="1" applyBorder="1" applyAlignment="1">
      <alignment vertical="center"/>
    </xf>
    <xf numFmtId="167" fontId="4" fillId="0" borderId="1" xfId="0" applyNumberFormat="1" applyFont="1" applyBorder="1"/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wrapText="1"/>
    </xf>
    <xf numFmtId="0" fontId="4" fillId="0" borderId="1" xfId="0" applyFont="1" applyBorder="1"/>
    <xf numFmtId="165" fontId="4" fillId="0" borderId="1" xfId="0" applyNumberFormat="1" applyFont="1" applyBorder="1" applyAlignment="1">
      <alignment vertical="center"/>
    </xf>
    <xf numFmtId="167" fontId="4" fillId="0" borderId="1" xfId="0" applyNumberFormat="1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wrapText="1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7" fontId="5" fillId="0" borderId="1" xfId="0" applyNumberFormat="1" applyFont="1" applyBorder="1"/>
    <xf numFmtId="165" fontId="4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8" fontId="7" fillId="0" borderId="1" xfId="0" applyNumberFormat="1" applyFont="1" applyBorder="1" applyAlignment="1">
      <alignment horizontal="right" vertical="center" readingOrder="1"/>
    </xf>
    <xf numFmtId="169" fontId="6" fillId="0" borderId="1" xfId="0" applyNumberFormat="1" applyFont="1" applyBorder="1" applyAlignment="1">
      <alignment horizontal="left" vertical="top" shrinkToFi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/>
    </xf>
    <xf numFmtId="170" fontId="6" fillId="0" borderId="1" xfId="0" applyNumberFormat="1" applyFont="1" applyBorder="1" applyAlignment="1">
      <alignment horizontal="left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/>
    </xf>
    <xf numFmtId="1" fontId="6" fillId="0" borderId="1" xfId="0" applyNumberFormat="1" applyFont="1" applyBorder="1" applyAlignment="1">
      <alignment horizontal="center" vertical="top" shrinkToFit="1"/>
    </xf>
    <xf numFmtId="8" fontId="4" fillId="0" borderId="1" xfId="0" applyNumberFormat="1" applyFont="1" applyBorder="1" applyAlignment="1">
      <alignment horizontal="center" vertical="top"/>
    </xf>
    <xf numFmtId="170" fontId="6" fillId="0" borderId="1" xfId="0" applyNumberFormat="1" applyFont="1" applyBorder="1" applyAlignment="1">
      <alignment horizontal="left" vertical="center" shrinkToFit="1"/>
    </xf>
    <xf numFmtId="171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171" fontId="9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72" fontId="4" fillId="0" borderId="1" xfId="1" applyNumberFormat="1" applyFont="1" applyBorder="1" applyAlignment="1">
      <alignment horizontal="right" vertical="center"/>
    </xf>
    <xf numFmtId="44" fontId="9" fillId="0" borderId="1" xfId="1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1" fontId="6" fillId="0" borderId="1" xfId="0" applyNumberFormat="1" applyFont="1" applyBorder="1" applyAlignment="1">
      <alignment horizontal="right" vertical="center" shrinkToFit="1"/>
    </xf>
    <xf numFmtId="44" fontId="4" fillId="0" borderId="1" xfId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 shrinkToFit="1"/>
    </xf>
    <xf numFmtId="172" fontId="4" fillId="0" borderId="1" xfId="0" applyNumberFormat="1" applyFont="1" applyBorder="1" applyAlignment="1">
      <alignment horizontal="right" vertical="center"/>
    </xf>
    <xf numFmtId="49" fontId="7" fillId="2" borderId="2" xfId="0" applyNumberFormat="1" applyFont="1" applyFill="1" applyBorder="1" applyAlignment="1">
      <alignment vertical="center"/>
    </xf>
    <xf numFmtId="173" fontId="7" fillId="2" borderId="3" xfId="0" applyNumberFormat="1" applyFont="1" applyFill="1" applyBorder="1" applyAlignment="1">
      <alignment vertical="center" wrapText="1"/>
    </xf>
    <xf numFmtId="49" fontId="7" fillId="2" borderId="3" xfId="0" applyNumberFormat="1" applyFont="1" applyFill="1" applyBorder="1" applyAlignment="1">
      <alignment horizontal="center" vertical="center"/>
    </xf>
    <xf numFmtId="175" fontId="7" fillId="2" borderId="3" xfId="0" applyNumberFormat="1" applyFont="1" applyFill="1" applyBorder="1" applyAlignment="1">
      <alignment horizontal="center" vertical="center"/>
    </xf>
    <xf numFmtId="3" fontId="7" fillId="2" borderId="3" xfId="0" applyNumberFormat="1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67E2B-92CF-468C-8357-074415E5EF92}">
  <dimension ref="A1:F90"/>
  <sheetViews>
    <sheetView tabSelected="1" workbookViewId="0">
      <selection activeCell="J8" sqref="J8"/>
    </sheetView>
  </sheetViews>
  <sheetFormatPr baseColWidth="10" defaultRowHeight="15" x14ac:dyDescent="0.25"/>
  <cols>
    <col min="2" max="2" width="21.28515625" customWidth="1"/>
  </cols>
  <sheetData>
    <row r="1" spans="1:6" x14ac:dyDescent="0.25">
      <c r="A1" s="50" t="s">
        <v>57</v>
      </c>
      <c r="B1" s="51" t="s">
        <v>56</v>
      </c>
      <c r="C1" s="52" t="s">
        <v>58</v>
      </c>
      <c r="D1" s="53" t="s">
        <v>59</v>
      </c>
      <c r="E1" s="53" t="s">
        <v>60</v>
      </c>
      <c r="F1" s="54" t="s">
        <v>61</v>
      </c>
    </row>
    <row r="2" spans="1:6" x14ac:dyDescent="0.25">
      <c r="A2" s="1">
        <v>1</v>
      </c>
      <c r="B2" s="2" t="s">
        <v>0</v>
      </c>
      <c r="C2" s="3"/>
      <c r="D2" s="3"/>
      <c r="E2" s="3"/>
      <c r="F2" s="3"/>
    </row>
    <row r="3" spans="1:6" x14ac:dyDescent="0.25">
      <c r="A3" s="4"/>
      <c r="B3" s="5" t="s">
        <v>1</v>
      </c>
      <c r="C3" s="6" t="s">
        <v>2</v>
      </c>
      <c r="D3" s="8">
        <v>56</v>
      </c>
      <c r="E3" s="7">
        <v>12000</v>
      </c>
      <c r="F3" s="9">
        <f t="shared" ref="F3:F11" si="0">+E3*D3</f>
        <v>672000</v>
      </c>
    </row>
    <row r="4" spans="1:6" ht="23.25" x14ac:dyDescent="0.25">
      <c r="A4" s="4"/>
      <c r="B4" s="5" t="s">
        <v>3</v>
      </c>
      <c r="C4" s="6" t="s">
        <v>4</v>
      </c>
      <c r="D4" s="8">
        <v>1</v>
      </c>
      <c r="E4" s="7">
        <v>300000</v>
      </c>
      <c r="F4" s="9">
        <f t="shared" si="0"/>
        <v>300000</v>
      </c>
    </row>
    <row r="5" spans="1:6" ht="23.25" x14ac:dyDescent="0.25">
      <c r="A5" s="4"/>
      <c r="B5" s="5" t="s">
        <v>5</v>
      </c>
      <c r="C5" s="6" t="s">
        <v>6</v>
      </c>
      <c r="D5" s="8">
        <v>42</v>
      </c>
      <c r="E5" s="7">
        <v>9000</v>
      </c>
      <c r="F5" s="9">
        <f t="shared" si="0"/>
        <v>378000</v>
      </c>
    </row>
    <row r="6" spans="1:6" x14ac:dyDescent="0.25">
      <c r="A6" s="4"/>
      <c r="B6" s="5" t="s">
        <v>7</v>
      </c>
      <c r="C6" s="6" t="s">
        <v>6</v>
      </c>
      <c r="D6" s="8">
        <v>28</v>
      </c>
      <c r="E6" s="7">
        <v>16000</v>
      </c>
      <c r="F6" s="9">
        <f t="shared" si="0"/>
        <v>448000</v>
      </c>
    </row>
    <row r="7" spans="1:6" x14ac:dyDescent="0.25">
      <c r="A7" s="4"/>
      <c r="B7" s="5" t="s">
        <v>8</v>
      </c>
      <c r="C7" s="6" t="s">
        <v>2</v>
      </c>
      <c r="D7" s="8">
        <v>56</v>
      </c>
      <c r="E7" s="7">
        <v>11000</v>
      </c>
      <c r="F7" s="9">
        <f t="shared" si="0"/>
        <v>616000</v>
      </c>
    </row>
    <row r="8" spans="1:6" ht="33.75" x14ac:dyDescent="0.25">
      <c r="A8" s="4"/>
      <c r="B8" s="10" t="s">
        <v>9</v>
      </c>
      <c r="C8" s="6" t="s">
        <v>10</v>
      </c>
      <c r="D8" s="8">
        <v>1</v>
      </c>
      <c r="E8" s="7">
        <v>800000</v>
      </c>
      <c r="F8" s="9">
        <f t="shared" si="0"/>
        <v>800000</v>
      </c>
    </row>
    <row r="9" spans="1:6" x14ac:dyDescent="0.25">
      <c r="A9" s="4"/>
      <c r="B9" s="5" t="s">
        <v>11</v>
      </c>
      <c r="C9" s="6" t="s">
        <v>4</v>
      </c>
      <c r="D9" s="8">
        <v>1</v>
      </c>
      <c r="E9" s="7">
        <v>600000</v>
      </c>
      <c r="F9" s="9">
        <f t="shared" si="0"/>
        <v>600000</v>
      </c>
    </row>
    <row r="10" spans="1:6" x14ac:dyDescent="0.25">
      <c r="A10" s="4"/>
      <c r="B10" s="5" t="s">
        <v>12</v>
      </c>
      <c r="C10" s="6" t="s">
        <v>13</v>
      </c>
      <c r="D10" s="8">
        <v>5</v>
      </c>
      <c r="E10" s="7">
        <v>150000</v>
      </c>
      <c r="F10" s="9">
        <f t="shared" si="0"/>
        <v>750000</v>
      </c>
    </row>
    <row r="11" spans="1:6" x14ac:dyDescent="0.25">
      <c r="A11" s="4"/>
      <c r="B11" s="10" t="s">
        <v>14</v>
      </c>
      <c r="C11" s="6" t="s">
        <v>10</v>
      </c>
      <c r="D11" s="8">
        <v>1</v>
      </c>
      <c r="E11" s="7">
        <v>600000</v>
      </c>
      <c r="F11" s="9">
        <f t="shared" si="0"/>
        <v>600000</v>
      </c>
    </row>
    <row r="12" spans="1:6" x14ac:dyDescent="0.25">
      <c r="A12" s="1">
        <v>2</v>
      </c>
      <c r="B12" s="11" t="s">
        <v>15</v>
      </c>
      <c r="C12" s="12"/>
      <c r="D12" s="12"/>
      <c r="E12" s="12"/>
      <c r="F12" s="12"/>
    </row>
    <row r="13" spans="1:6" x14ac:dyDescent="0.25">
      <c r="A13" s="4"/>
      <c r="B13" s="10" t="s">
        <v>16</v>
      </c>
      <c r="C13" s="6" t="s">
        <v>2</v>
      </c>
      <c r="D13" s="8">
        <f>(0.17+1.9+0.28+1.9+0.48+0.92+0.57+2.8+0.78+0.5)*2.5</f>
        <v>25.749999999999996</v>
      </c>
      <c r="E13" s="13">
        <v>114000</v>
      </c>
      <c r="F13" s="14">
        <f>+E13*D13</f>
        <v>2935499.9999999995</v>
      </c>
    </row>
    <row r="14" spans="1:6" x14ac:dyDescent="0.25">
      <c r="A14" s="4"/>
      <c r="B14" s="10" t="s">
        <v>16</v>
      </c>
      <c r="C14" s="6" t="s">
        <v>6</v>
      </c>
      <c r="D14" s="8">
        <f>(1+1+1+1+1+1)*2.5</f>
        <v>15</v>
      </c>
      <c r="E14" s="13">
        <f>E13*0.6</f>
        <v>68400</v>
      </c>
      <c r="F14" s="14">
        <f>+E14*D14</f>
        <v>1026000</v>
      </c>
    </row>
    <row r="15" spans="1:6" x14ac:dyDescent="0.25">
      <c r="A15" s="4"/>
      <c r="B15" s="10" t="s">
        <v>17</v>
      </c>
      <c r="C15" s="6" t="s">
        <v>6</v>
      </c>
      <c r="D15" s="8">
        <f>(5.15+3.3+0.6)*2</f>
        <v>18.099999999999998</v>
      </c>
      <c r="E15" s="13">
        <v>106800</v>
      </c>
      <c r="F15" s="14">
        <f>+E15*D15</f>
        <v>1933079.9999999998</v>
      </c>
    </row>
    <row r="16" spans="1:6" ht="23.25" x14ac:dyDescent="0.25">
      <c r="A16" s="1">
        <v>3</v>
      </c>
      <c r="B16" s="2" t="s">
        <v>18</v>
      </c>
      <c r="C16" s="12"/>
      <c r="D16" s="12"/>
      <c r="E16" s="12"/>
      <c r="F16" s="12"/>
    </row>
    <row r="17" spans="1:6" x14ac:dyDescent="0.25">
      <c r="A17" s="15"/>
      <c r="B17" s="16" t="s">
        <v>19</v>
      </c>
      <c r="C17" s="17" t="s">
        <v>6</v>
      </c>
      <c r="D17" s="8">
        <f>10*2.8</f>
        <v>28</v>
      </c>
      <c r="E17" s="7">
        <v>14500</v>
      </c>
      <c r="F17" s="7">
        <f>+E17*D17</f>
        <v>406000</v>
      </c>
    </row>
    <row r="18" spans="1:6" ht="22.5" x14ac:dyDescent="0.25">
      <c r="A18" s="15"/>
      <c r="B18" s="16" t="s">
        <v>20</v>
      </c>
      <c r="C18" s="17" t="s">
        <v>6</v>
      </c>
      <c r="D18" s="8">
        <f>+D6</f>
        <v>28</v>
      </c>
      <c r="E18" s="7">
        <v>16000</v>
      </c>
      <c r="F18" s="7">
        <f>+E18*D18</f>
        <v>448000</v>
      </c>
    </row>
    <row r="19" spans="1:6" x14ac:dyDescent="0.25">
      <c r="A19" s="15"/>
      <c r="B19" s="16" t="s">
        <v>21</v>
      </c>
      <c r="C19" s="18" t="s">
        <v>2</v>
      </c>
      <c r="D19" s="8">
        <v>56</v>
      </c>
      <c r="E19" s="7">
        <v>72000</v>
      </c>
      <c r="F19" s="7">
        <f>+E19*D19</f>
        <v>4032000</v>
      </c>
    </row>
    <row r="20" spans="1:6" ht="33.75" x14ac:dyDescent="0.25">
      <c r="A20" s="15"/>
      <c r="B20" s="16" t="s">
        <v>22</v>
      </c>
      <c r="C20" s="18" t="s">
        <v>4</v>
      </c>
      <c r="D20" s="8">
        <v>1</v>
      </c>
      <c r="E20" s="7">
        <v>145000</v>
      </c>
      <c r="F20" s="7">
        <f>+E20*D20</f>
        <v>145000</v>
      </c>
    </row>
    <row r="21" spans="1:6" ht="23.25" x14ac:dyDescent="0.25">
      <c r="A21" s="15"/>
      <c r="B21" s="19" t="s">
        <v>23</v>
      </c>
      <c r="C21" s="18" t="s">
        <v>6</v>
      </c>
      <c r="D21" s="8">
        <f>5.42+1+2.2+2.2+2.2+2.2+2.2+2.2</f>
        <v>19.619999999999997</v>
      </c>
      <c r="E21" s="7">
        <v>45000</v>
      </c>
      <c r="F21" s="7">
        <f>+E21*D21</f>
        <v>882899.99999999988</v>
      </c>
    </row>
    <row r="22" spans="1:6" x14ac:dyDescent="0.25">
      <c r="A22" s="1" t="s">
        <v>24</v>
      </c>
      <c r="B22" s="2" t="s">
        <v>25</v>
      </c>
      <c r="C22" s="12"/>
      <c r="D22" s="12"/>
      <c r="E22" s="12"/>
      <c r="F22" s="12"/>
    </row>
    <row r="23" spans="1:6" x14ac:dyDescent="0.25">
      <c r="A23" s="20"/>
      <c r="B23" s="10" t="s">
        <v>26</v>
      </c>
      <c r="C23" s="21" t="s">
        <v>2</v>
      </c>
      <c r="D23" s="8">
        <v>25</v>
      </c>
      <c r="E23" s="7">
        <v>25000</v>
      </c>
      <c r="F23" s="9">
        <f>+E23*D23</f>
        <v>625000</v>
      </c>
    </row>
    <row r="24" spans="1:6" x14ac:dyDescent="0.25">
      <c r="A24" s="20"/>
      <c r="B24" s="10" t="s">
        <v>27</v>
      </c>
      <c r="C24" s="21" t="s">
        <v>2</v>
      </c>
      <c r="D24" s="8">
        <v>58</v>
      </c>
      <c r="E24" s="7"/>
      <c r="F24" s="9">
        <f>+E24*D24</f>
        <v>0</v>
      </c>
    </row>
    <row r="25" spans="1:6" ht="22.5" x14ac:dyDescent="0.25">
      <c r="A25" s="20"/>
      <c r="B25" s="10" t="s">
        <v>28</v>
      </c>
      <c r="C25" s="6" t="s">
        <v>2</v>
      </c>
      <c r="D25" s="8">
        <f>56*1.05</f>
        <v>58.800000000000004</v>
      </c>
      <c r="E25" s="7"/>
      <c r="F25" s="14">
        <f>+E25*D25</f>
        <v>0</v>
      </c>
    </row>
    <row r="26" spans="1:6" ht="23.25" x14ac:dyDescent="0.25">
      <c r="A26" s="1">
        <v>5</v>
      </c>
      <c r="B26" s="2" t="s">
        <v>29</v>
      </c>
      <c r="C26" s="12"/>
      <c r="D26" s="12"/>
      <c r="E26" s="12"/>
      <c r="F26" s="12"/>
    </row>
    <row r="27" spans="1:6" x14ac:dyDescent="0.25">
      <c r="A27" s="1"/>
      <c r="B27" s="16" t="s">
        <v>30</v>
      </c>
      <c r="C27" s="6" t="s">
        <v>4</v>
      </c>
      <c r="D27" s="6">
        <v>16</v>
      </c>
      <c r="E27" s="23">
        <v>109600</v>
      </c>
      <c r="F27" s="23">
        <f t="shared" ref="F27:F32" si="1">+D27*E27</f>
        <v>1753600</v>
      </c>
    </row>
    <row r="28" spans="1:6" x14ac:dyDescent="0.25">
      <c r="A28" s="15"/>
      <c r="B28" s="16" t="s">
        <v>31</v>
      </c>
      <c r="C28" s="6" t="s">
        <v>4</v>
      </c>
      <c r="D28" s="6">
        <v>2</v>
      </c>
      <c r="E28" s="23">
        <v>109600</v>
      </c>
      <c r="F28" s="23">
        <f t="shared" si="1"/>
        <v>219200</v>
      </c>
    </row>
    <row r="29" spans="1:6" ht="22.5" x14ac:dyDescent="0.25">
      <c r="A29" s="1"/>
      <c r="B29" s="16" t="s">
        <v>32</v>
      </c>
      <c r="C29" s="6" t="s">
        <v>4</v>
      </c>
      <c r="D29" s="6">
        <v>3</v>
      </c>
      <c r="E29" s="23">
        <v>109600</v>
      </c>
      <c r="F29" s="23">
        <f t="shared" si="1"/>
        <v>328800</v>
      </c>
    </row>
    <row r="30" spans="1:6" ht="22.5" x14ac:dyDescent="0.25">
      <c r="A30" s="15"/>
      <c r="B30" s="16" t="s">
        <v>33</v>
      </c>
      <c r="C30" s="6" t="s">
        <v>4</v>
      </c>
      <c r="D30" s="6">
        <v>5</v>
      </c>
      <c r="E30" s="23">
        <v>109600</v>
      </c>
      <c r="F30" s="23">
        <f t="shared" si="1"/>
        <v>548000</v>
      </c>
    </row>
    <row r="31" spans="1:6" ht="22.5" x14ac:dyDescent="0.25">
      <c r="A31" s="1"/>
      <c r="B31" s="16" t="s">
        <v>34</v>
      </c>
      <c r="C31" s="6" t="s">
        <v>4</v>
      </c>
      <c r="D31" s="6">
        <v>1</v>
      </c>
      <c r="E31" s="23">
        <v>109600</v>
      </c>
      <c r="F31" s="23">
        <f t="shared" si="1"/>
        <v>109600</v>
      </c>
    </row>
    <row r="32" spans="1:6" ht="33.75" x14ac:dyDescent="0.25">
      <c r="A32" s="15"/>
      <c r="B32" s="16" t="s">
        <v>35</v>
      </c>
      <c r="C32" s="6" t="s">
        <v>4</v>
      </c>
      <c r="D32" s="6">
        <v>16</v>
      </c>
      <c r="E32" s="23">
        <v>64200</v>
      </c>
      <c r="F32" s="23">
        <f t="shared" si="1"/>
        <v>1027200</v>
      </c>
    </row>
    <row r="33" spans="1:6" ht="22.5" x14ac:dyDescent="0.25">
      <c r="A33" s="1"/>
      <c r="B33" s="16" t="s">
        <v>36</v>
      </c>
      <c r="C33" s="6" t="s">
        <v>4</v>
      </c>
      <c r="D33" s="6"/>
      <c r="E33" s="23"/>
      <c r="F33" s="23"/>
    </row>
    <row r="34" spans="1:6" ht="22.5" x14ac:dyDescent="0.25">
      <c r="A34" s="15"/>
      <c r="B34" s="16" t="s">
        <v>37</v>
      </c>
      <c r="C34" s="6" t="s">
        <v>6</v>
      </c>
      <c r="D34" s="6">
        <v>2</v>
      </c>
      <c r="E34" s="23">
        <v>465000</v>
      </c>
      <c r="F34" s="23">
        <f t="shared" ref="F34:F42" si="2">+D34*E34</f>
        <v>930000</v>
      </c>
    </row>
    <row r="35" spans="1:6" ht="33.75" x14ac:dyDescent="0.25">
      <c r="A35" s="1"/>
      <c r="B35" s="16" t="s">
        <v>38</v>
      </c>
      <c r="C35" s="6" t="s">
        <v>6</v>
      </c>
      <c r="D35" s="6">
        <f>1.1+0.9+0.9+1.4</f>
        <v>4.3</v>
      </c>
      <c r="E35" s="23">
        <v>41400</v>
      </c>
      <c r="F35" s="23">
        <f t="shared" si="2"/>
        <v>178020</v>
      </c>
    </row>
    <row r="36" spans="1:6" ht="33.75" x14ac:dyDescent="0.25">
      <c r="A36" s="15"/>
      <c r="B36" s="16" t="s">
        <v>39</v>
      </c>
      <c r="C36" s="6" t="s">
        <v>4</v>
      </c>
      <c r="D36" s="6">
        <v>1</v>
      </c>
      <c r="E36" s="23">
        <v>225000</v>
      </c>
      <c r="F36" s="23">
        <f t="shared" si="2"/>
        <v>225000</v>
      </c>
    </row>
    <row r="37" spans="1:6" ht="33.75" x14ac:dyDescent="0.25">
      <c r="A37" s="1"/>
      <c r="B37" s="16" t="s">
        <v>40</v>
      </c>
      <c r="C37" s="6" t="s">
        <v>4</v>
      </c>
      <c r="D37" s="6">
        <v>5</v>
      </c>
      <c r="E37" s="23">
        <v>45800</v>
      </c>
      <c r="F37" s="23">
        <f t="shared" si="2"/>
        <v>229000</v>
      </c>
    </row>
    <row r="38" spans="1:6" ht="56.25" x14ac:dyDescent="0.25">
      <c r="A38" s="15"/>
      <c r="B38" s="16" t="s">
        <v>41</v>
      </c>
      <c r="C38" s="6" t="s">
        <v>4</v>
      </c>
      <c r="D38" s="6">
        <v>12</v>
      </c>
      <c r="E38" s="23">
        <v>118400</v>
      </c>
      <c r="F38" s="23">
        <f t="shared" si="2"/>
        <v>1420800</v>
      </c>
    </row>
    <row r="39" spans="1:6" ht="56.25" x14ac:dyDescent="0.25">
      <c r="A39" s="1"/>
      <c r="B39" s="16" t="s">
        <v>42</v>
      </c>
      <c r="C39" s="6" t="s">
        <v>4</v>
      </c>
      <c r="D39" s="6">
        <v>2</v>
      </c>
      <c r="E39" s="23">
        <v>151300</v>
      </c>
      <c r="F39" s="23">
        <f t="shared" si="2"/>
        <v>302600</v>
      </c>
    </row>
    <row r="40" spans="1:6" ht="22.5" x14ac:dyDescent="0.25">
      <c r="A40" s="15"/>
      <c r="B40" s="16" t="s">
        <v>43</v>
      </c>
      <c r="C40" s="6" t="s">
        <v>4</v>
      </c>
      <c r="D40" s="6">
        <v>1</v>
      </c>
      <c r="E40" s="23">
        <v>286900</v>
      </c>
      <c r="F40" s="23">
        <f t="shared" si="2"/>
        <v>286900</v>
      </c>
    </row>
    <row r="41" spans="1:6" x14ac:dyDescent="0.25">
      <c r="A41" s="1"/>
      <c r="B41" s="16" t="s">
        <v>44</v>
      </c>
      <c r="C41" s="6" t="s">
        <v>4</v>
      </c>
      <c r="D41" s="6">
        <v>2</v>
      </c>
      <c r="E41" s="23">
        <v>286900</v>
      </c>
      <c r="F41" s="23">
        <f t="shared" si="2"/>
        <v>573800</v>
      </c>
    </row>
    <row r="42" spans="1:6" ht="22.5" x14ac:dyDescent="0.25">
      <c r="A42" s="15"/>
      <c r="B42" s="16" t="s">
        <v>45</v>
      </c>
      <c r="C42" s="6" t="s">
        <v>4</v>
      </c>
      <c r="D42" s="6">
        <v>1</v>
      </c>
      <c r="E42" s="23">
        <v>380000</v>
      </c>
      <c r="F42" s="23">
        <f t="shared" si="2"/>
        <v>380000</v>
      </c>
    </row>
    <row r="43" spans="1:6" ht="23.25" x14ac:dyDescent="0.25">
      <c r="A43" s="20">
        <v>10</v>
      </c>
      <c r="B43" s="11" t="s">
        <v>46</v>
      </c>
      <c r="C43" s="12"/>
      <c r="D43" s="12"/>
      <c r="E43" s="12"/>
      <c r="F43" s="22"/>
    </row>
    <row r="44" spans="1:6" ht="33.75" x14ac:dyDescent="0.25">
      <c r="A44" s="20"/>
      <c r="B44" s="16" t="s">
        <v>47</v>
      </c>
      <c r="C44" s="6" t="s">
        <v>2</v>
      </c>
      <c r="D44" s="8">
        <v>8.65</v>
      </c>
      <c r="E44" s="24">
        <v>695000</v>
      </c>
      <c r="F44" s="14">
        <f>+D44*E44</f>
        <v>6011750</v>
      </c>
    </row>
    <row r="45" spans="1:6" ht="45" x14ac:dyDescent="0.25">
      <c r="A45" s="20"/>
      <c r="B45" s="16" t="s">
        <v>48</v>
      </c>
      <c r="C45" s="6" t="s">
        <v>4</v>
      </c>
      <c r="D45" s="8">
        <v>2</v>
      </c>
      <c r="E45" s="24">
        <v>2059000</v>
      </c>
      <c r="F45" s="14">
        <f>+D45*E45</f>
        <v>4118000</v>
      </c>
    </row>
    <row r="46" spans="1:6" x14ac:dyDescent="0.25">
      <c r="A46" s="20"/>
      <c r="B46" s="16" t="s">
        <v>49</v>
      </c>
      <c r="C46" s="6" t="s">
        <v>4</v>
      </c>
      <c r="D46" s="8">
        <v>1</v>
      </c>
      <c r="E46" s="13">
        <v>2760000</v>
      </c>
      <c r="F46" s="14">
        <f>+D46*E46</f>
        <v>2760000</v>
      </c>
    </row>
    <row r="47" spans="1:6" x14ac:dyDescent="0.25">
      <c r="A47" s="1">
        <v>11</v>
      </c>
      <c r="B47" s="11" t="s">
        <v>50</v>
      </c>
      <c r="C47" s="12"/>
      <c r="D47" s="12"/>
      <c r="E47" s="12"/>
      <c r="F47" s="12"/>
    </row>
    <row r="48" spans="1:6" x14ac:dyDescent="0.25">
      <c r="A48" s="20"/>
      <c r="B48" s="16" t="s">
        <v>51</v>
      </c>
      <c r="C48" s="6" t="s">
        <v>2</v>
      </c>
      <c r="D48" s="8">
        <f>58.95*1</f>
        <v>58.95</v>
      </c>
      <c r="E48" s="13">
        <v>19000</v>
      </c>
      <c r="F48" s="14">
        <f>+E48*D48</f>
        <v>1120050</v>
      </c>
    </row>
    <row r="49" spans="1:6" x14ac:dyDescent="0.25">
      <c r="A49" s="20"/>
      <c r="B49" s="16" t="s">
        <v>52</v>
      </c>
      <c r="C49" s="6" t="s">
        <v>2</v>
      </c>
      <c r="D49" s="8">
        <v>12</v>
      </c>
      <c r="E49" s="25">
        <v>39000</v>
      </c>
      <c r="F49" s="14">
        <f>+E49*D49</f>
        <v>468000</v>
      </c>
    </row>
    <row r="50" spans="1:6" x14ac:dyDescent="0.25">
      <c r="A50" s="20"/>
      <c r="B50" s="16" t="s">
        <v>53</v>
      </c>
      <c r="C50" s="6" t="s">
        <v>2</v>
      </c>
      <c r="D50" s="8">
        <v>98</v>
      </c>
      <c r="E50" s="13">
        <v>24200</v>
      </c>
      <c r="F50" s="14">
        <f>+E50*D50</f>
        <v>2371600</v>
      </c>
    </row>
    <row r="51" spans="1:6" x14ac:dyDescent="0.25">
      <c r="A51" s="20"/>
      <c r="B51" s="16" t="s">
        <v>54</v>
      </c>
      <c r="C51" s="6" t="s">
        <v>6</v>
      </c>
      <c r="D51" s="8">
        <v>44</v>
      </c>
      <c r="E51" s="13">
        <f>E50*0.6</f>
        <v>14520</v>
      </c>
      <c r="F51" s="14">
        <f>+E51*D51</f>
        <v>638880</v>
      </c>
    </row>
    <row r="52" spans="1:6" ht="22.5" x14ac:dyDescent="0.25">
      <c r="A52" s="20"/>
      <c r="B52" s="16" t="s">
        <v>55</v>
      </c>
      <c r="C52" s="6" t="s">
        <v>2</v>
      </c>
      <c r="D52" s="8">
        <v>56</v>
      </c>
      <c r="E52" s="13">
        <v>29300</v>
      </c>
      <c r="F52" s="14">
        <f>+E52*D52</f>
        <v>1640800</v>
      </c>
    </row>
    <row r="53" spans="1:6" x14ac:dyDescent="0.25">
      <c r="A53" s="26"/>
      <c r="B53" s="27"/>
      <c r="C53" s="28"/>
      <c r="D53" s="28"/>
      <c r="E53" s="28"/>
      <c r="F53" s="28"/>
    </row>
    <row r="54" spans="1:6" x14ac:dyDescent="0.25">
      <c r="A54" s="29"/>
      <c r="B54" s="30"/>
      <c r="C54" s="31"/>
      <c r="D54" s="32"/>
      <c r="E54" s="31"/>
      <c r="F54" s="33"/>
    </row>
    <row r="55" spans="1:6" x14ac:dyDescent="0.25">
      <c r="A55" s="29"/>
      <c r="B55" s="30"/>
      <c r="C55" s="31"/>
      <c r="D55" s="32"/>
      <c r="E55" s="31"/>
      <c r="F55" s="33"/>
    </row>
    <row r="56" spans="1:6" x14ac:dyDescent="0.25">
      <c r="A56" s="29"/>
      <c r="B56" s="30"/>
      <c r="C56" s="31"/>
      <c r="D56" s="32"/>
      <c r="E56" s="31"/>
      <c r="F56" s="33"/>
    </row>
    <row r="57" spans="1:6" x14ac:dyDescent="0.25">
      <c r="A57" s="34"/>
      <c r="B57" s="30"/>
      <c r="C57" s="31"/>
      <c r="D57" s="32"/>
      <c r="E57" s="31"/>
      <c r="F57" s="33"/>
    </row>
    <row r="58" spans="1:6" x14ac:dyDescent="0.25">
      <c r="A58" s="34"/>
      <c r="B58" s="30"/>
      <c r="C58" s="31"/>
      <c r="D58" s="32"/>
      <c r="E58" s="31"/>
      <c r="F58" s="33"/>
    </row>
    <row r="59" spans="1:6" x14ac:dyDescent="0.25">
      <c r="A59" s="35"/>
      <c r="B59" s="36"/>
      <c r="C59" s="37"/>
      <c r="D59" s="37"/>
      <c r="E59" s="38"/>
      <c r="F59" s="38"/>
    </row>
    <row r="60" spans="1:6" x14ac:dyDescent="0.25">
      <c r="A60" s="39"/>
      <c r="B60" s="10"/>
      <c r="C60" s="6"/>
      <c r="D60" s="40"/>
      <c r="E60" s="40"/>
      <c r="F60" s="41"/>
    </row>
    <row r="61" spans="1:6" x14ac:dyDescent="0.25">
      <c r="A61" s="39"/>
      <c r="B61" s="10"/>
      <c r="C61" s="37"/>
      <c r="D61" s="43"/>
      <c r="E61" s="42"/>
      <c r="F61" s="41"/>
    </row>
    <row r="62" spans="1:6" x14ac:dyDescent="0.25">
      <c r="A62" s="39"/>
      <c r="B62" s="16"/>
      <c r="C62" s="37"/>
      <c r="D62" s="43"/>
      <c r="E62" s="42"/>
      <c r="F62" s="41"/>
    </row>
    <row r="63" spans="1:6" x14ac:dyDescent="0.25">
      <c r="A63" s="39"/>
      <c r="B63" s="10"/>
      <c r="C63" s="6"/>
      <c r="D63" s="44"/>
      <c r="E63" s="40"/>
      <c r="F63" s="41"/>
    </row>
    <row r="64" spans="1:6" x14ac:dyDescent="0.25">
      <c r="A64" s="39"/>
      <c r="B64" s="10"/>
      <c r="C64" s="6"/>
      <c r="D64" s="44"/>
      <c r="E64" s="40"/>
      <c r="F64" s="41"/>
    </row>
    <row r="65" spans="1:6" x14ac:dyDescent="0.25">
      <c r="A65" s="39"/>
      <c r="B65" s="10"/>
      <c r="C65" s="6"/>
      <c r="D65" s="44"/>
      <c r="E65" s="40"/>
      <c r="F65" s="41"/>
    </row>
    <row r="66" spans="1:6" x14ac:dyDescent="0.25">
      <c r="A66" s="39"/>
      <c r="B66" s="10"/>
      <c r="C66" s="6"/>
      <c r="D66" s="40"/>
      <c r="E66" s="40"/>
      <c r="F66" s="41"/>
    </row>
    <row r="67" spans="1:6" x14ac:dyDescent="0.25">
      <c r="A67" s="39"/>
      <c r="B67" s="10"/>
      <c r="C67" s="6"/>
      <c r="D67" s="40"/>
      <c r="E67" s="45"/>
      <c r="F67" s="41"/>
    </row>
    <row r="68" spans="1:6" x14ac:dyDescent="0.25">
      <c r="A68" s="39"/>
      <c r="B68" s="10"/>
      <c r="C68" s="6"/>
      <c r="D68" s="44"/>
      <c r="E68" s="40"/>
      <c r="F68" s="41"/>
    </row>
    <row r="69" spans="1:6" x14ac:dyDescent="0.25">
      <c r="A69" s="39"/>
      <c r="B69" s="10"/>
      <c r="C69" s="6"/>
      <c r="D69" s="46"/>
      <c r="E69" s="41"/>
      <c r="F69" s="41"/>
    </row>
    <row r="70" spans="1:6" x14ac:dyDescent="0.25">
      <c r="A70" s="39"/>
      <c r="B70" s="10"/>
      <c r="C70" s="6"/>
      <c r="D70" s="40"/>
      <c r="E70" s="41"/>
      <c r="F70" s="41"/>
    </row>
    <row r="71" spans="1:6" x14ac:dyDescent="0.25">
      <c r="A71" s="39"/>
      <c r="B71" s="10"/>
      <c r="C71" s="6"/>
      <c r="D71" s="40"/>
      <c r="E71" s="41"/>
      <c r="F71" s="41"/>
    </row>
    <row r="72" spans="1:6" x14ac:dyDescent="0.25">
      <c r="A72" s="39"/>
      <c r="B72" s="10"/>
      <c r="C72" s="6"/>
      <c r="D72" s="40"/>
      <c r="E72" s="47"/>
      <c r="F72" s="41"/>
    </row>
    <row r="73" spans="1:6" x14ac:dyDescent="0.25">
      <c r="A73" s="39"/>
      <c r="B73" s="16"/>
      <c r="C73" s="6"/>
      <c r="D73" s="48"/>
      <c r="E73" s="47"/>
      <c r="F73" s="41"/>
    </row>
    <row r="74" spans="1:6" x14ac:dyDescent="0.25">
      <c r="A74" s="39"/>
      <c r="B74" s="16"/>
      <c r="C74" s="6"/>
      <c r="D74" s="48"/>
      <c r="E74" s="47"/>
      <c r="F74" s="41"/>
    </row>
    <row r="75" spans="1:6" x14ac:dyDescent="0.25">
      <c r="A75" s="39"/>
      <c r="B75" s="16"/>
      <c r="C75" s="6"/>
      <c r="D75" s="48"/>
      <c r="E75" s="47"/>
      <c r="F75" s="41"/>
    </row>
    <row r="76" spans="1:6" x14ac:dyDescent="0.25">
      <c r="A76" s="39"/>
      <c r="B76" s="16"/>
      <c r="C76" s="18"/>
      <c r="D76" s="48"/>
      <c r="E76" s="47"/>
      <c r="F76" s="41"/>
    </row>
    <row r="77" spans="1:6" x14ac:dyDescent="0.25">
      <c r="A77" s="39"/>
      <c r="B77" s="10"/>
      <c r="C77" s="6"/>
      <c r="D77" s="46"/>
      <c r="E77" s="47"/>
      <c r="F77" s="41"/>
    </row>
    <row r="78" spans="1:6" x14ac:dyDescent="0.25">
      <c r="A78" s="39"/>
      <c r="B78" s="10"/>
      <c r="C78" s="6"/>
      <c r="D78" s="46"/>
      <c r="E78" s="41"/>
      <c r="F78" s="41"/>
    </row>
    <row r="79" spans="1:6" x14ac:dyDescent="0.25">
      <c r="A79" s="39"/>
      <c r="B79" s="10"/>
      <c r="C79" s="6"/>
      <c r="D79" s="46"/>
      <c r="E79" s="41"/>
      <c r="F79" s="41"/>
    </row>
    <row r="80" spans="1:6" x14ac:dyDescent="0.25">
      <c r="A80" s="39"/>
      <c r="B80" s="16"/>
      <c r="C80" s="6"/>
      <c r="D80" s="40"/>
      <c r="E80" s="49"/>
      <c r="F80" s="41"/>
    </row>
    <row r="81" spans="1:6" x14ac:dyDescent="0.25">
      <c r="A81" s="39"/>
      <c r="B81" s="16"/>
      <c r="C81" s="6"/>
      <c r="D81" s="40"/>
      <c r="E81" s="49"/>
      <c r="F81" s="41"/>
    </row>
    <row r="82" spans="1:6" x14ac:dyDescent="0.25">
      <c r="A82" s="39"/>
      <c r="B82" s="10"/>
      <c r="C82" s="6"/>
      <c r="D82" s="48"/>
      <c r="E82" s="49"/>
      <c r="F82" s="41"/>
    </row>
    <row r="83" spans="1:6" x14ac:dyDescent="0.25">
      <c r="A83" s="39"/>
      <c r="B83" s="10"/>
      <c r="C83" s="6"/>
      <c r="D83" s="48"/>
      <c r="E83" s="41"/>
      <c r="F83" s="41"/>
    </row>
    <row r="84" spans="1:6" x14ac:dyDescent="0.25">
      <c r="A84" s="39"/>
      <c r="B84" s="10"/>
      <c r="C84" s="6"/>
      <c r="D84" s="46"/>
      <c r="E84" s="41"/>
      <c r="F84" s="41"/>
    </row>
    <row r="85" spans="1:6" x14ac:dyDescent="0.25">
      <c r="A85" s="39"/>
      <c r="B85" s="10"/>
      <c r="C85" s="6"/>
      <c r="D85" s="46"/>
      <c r="E85" s="41"/>
      <c r="F85" s="41"/>
    </row>
    <row r="86" spans="1:6" x14ac:dyDescent="0.25">
      <c r="A86" s="39"/>
      <c r="B86" s="16"/>
      <c r="C86" s="6"/>
      <c r="D86" s="46"/>
      <c r="E86" s="47"/>
      <c r="F86" s="41"/>
    </row>
    <row r="87" spans="1:6" x14ac:dyDescent="0.25">
      <c r="A87" s="39"/>
      <c r="B87" s="16"/>
      <c r="C87" s="6"/>
      <c r="D87" s="46"/>
      <c r="E87" s="49"/>
      <c r="F87" s="41"/>
    </row>
    <row r="88" spans="1:6" x14ac:dyDescent="0.25">
      <c r="A88" s="39"/>
      <c r="B88" s="10"/>
      <c r="C88" s="6"/>
      <c r="D88" s="40"/>
      <c r="E88" s="49"/>
      <c r="F88" s="41"/>
    </row>
    <row r="89" spans="1:6" x14ac:dyDescent="0.25">
      <c r="A89" s="39"/>
      <c r="B89" s="16"/>
      <c r="C89" s="6"/>
      <c r="D89" s="46"/>
      <c r="E89" s="47"/>
      <c r="F89" s="41"/>
    </row>
    <row r="90" spans="1:6" x14ac:dyDescent="0.25">
      <c r="A90" s="39"/>
      <c r="B90" s="16"/>
      <c r="C90" s="6"/>
      <c r="D90" s="48"/>
      <c r="E90" s="47"/>
      <c r="F90" s="4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Riveros</dc:creator>
  <cp:lastModifiedBy>Laura Riveros</cp:lastModifiedBy>
  <dcterms:created xsi:type="dcterms:W3CDTF">2026-06-04T01:04:22Z</dcterms:created>
  <dcterms:modified xsi:type="dcterms:W3CDTF">2026-06-07T03:57:39Z</dcterms:modified>
</cp:coreProperties>
</file>