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88340FE4-4162-4C04-B42C-12A34E6A0AA8}" xr6:coauthVersionLast="47" xr6:coauthVersionMax="47" xr10:uidLastSave="{00000000-0000-0000-0000-000000000000}"/>
  <bookViews>
    <workbookView xWindow="-120" yWindow="-120" windowWidth="29040" windowHeight="15720" xr2:uid="{FA8C5767-DD92-4E7A-9AC2-94A870949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0" i="1" l="1"/>
  <c r="E69" i="1"/>
  <c r="F68" i="1"/>
  <c r="F67" i="1"/>
  <c r="F66" i="1"/>
  <c r="F65" i="1"/>
  <c r="F63" i="1"/>
  <c r="D62" i="1"/>
  <c r="F60" i="1"/>
  <c r="F58" i="1"/>
  <c r="F56" i="1"/>
  <c r="E55" i="1"/>
  <c r="F54" i="1"/>
  <c r="F53" i="1"/>
  <c r="F51" i="1"/>
  <c r="F50" i="1"/>
  <c r="F48" i="1"/>
  <c r="F47" i="1"/>
  <c r="F46" i="1"/>
  <c r="F45" i="1"/>
  <c r="F44" i="1"/>
  <c r="F43" i="1"/>
  <c r="E42" i="1"/>
  <c r="F41" i="1"/>
  <c r="F40" i="1"/>
  <c r="F39" i="1"/>
  <c r="F38" i="1"/>
  <c r="F37" i="1"/>
  <c r="F36" i="1"/>
  <c r="F35" i="1"/>
  <c r="F34" i="1"/>
  <c r="F33" i="1"/>
  <c r="F31" i="1"/>
  <c r="F30" i="1"/>
  <c r="F29" i="1"/>
  <c r="F27" i="1"/>
  <c r="E26" i="1"/>
  <c r="D26" i="1"/>
  <c r="D25" i="1"/>
  <c r="F24" i="1"/>
  <c r="F23" i="1"/>
  <c r="D22" i="1"/>
  <c r="D20" i="1"/>
  <c r="E19" i="1"/>
  <c r="D19" i="1"/>
  <c r="D18" i="1"/>
  <c r="F16" i="1"/>
  <c r="F15" i="1"/>
  <c r="F14" i="1"/>
  <c r="D13" i="1"/>
  <c r="F12" i="1"/>
  <c r="F11" i="1"/>
  <c r="F10" i="1"/>
  <c r="F9" i="1"/>
  <c r="F8" i="1"/>
  <c r="F7" i="1"/>
  <c r="F6" i="1"/>
  <c r="D5" i="1"/>
  <c r="D4" i="1"/>
  <c r="F3" i="1"/>
  <c r="F22" i="1" l="1"/>
  <c r="F20" i="1"/>
  <c r="F26" i="1"/>
  <c r="F25" i="1"/>
  <c r="F62" i="1"/>
  <c r="F13" i="1"/>
  <c r="F5" i="1"/>
  <c r="F4" i="1"/>
  <c r="F69" i="1"/>
  <c r="F42" i="1"/>
  <c r="F55" i="1"/>
  <c r="F19" i="1"/>
  <c r="F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E4023D5E-B446-46CC-B686-F791B4160419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<sst xmlns="http://schemas.openxmlformats.org/spreadsheetml/2006/main" count="134" uniqueCount="78">
  <si>
    <t>UN</t>
  </si>
  <si>
    <t>PRELIMINARES</t>
  </si>
  <si>
    <t>Demolición muro de mamposteria</t>
  </si>
  <si>
    <t>M2</t>
  </si>
  <si>
    <t>Demilicion de muros de drywall</t>
  </si>
  <si>
    <t xml:space="preserve">Arreglos y limpienza en placa </t>
  </si>
  <si>
    <t xml:space="preserve">Demolicion enchape </t>
  </si>
  <si>
    <t>Desmonte de piso con guardaescobas</t>
  </si>
  <si>
    <t>Retiro de muebles</t>
  </si>
  <si>
    <t>GL</t>
  </si>
  <si>
    <t>Desmonte de redes hidrosanitarias antiguas, INCLUYE Desmonte de Accesorios, desconexion de servicios, y suspencion de puntos hidrosantarios: Retirar lavabos, inodoros, espejos y accesorios de baño.</t>
  </si>
  <si>
    <t>Desmonte de puertas sencilla</t>
  </si>
  <si>
    <t>Desmonte de cielo razo</t>
  </si>
  <si>
    <t>Desmonte de redes eléctricas y de datos existentes</t>
  </si>
  <si>
    <t xml:space="preserve">Desmonte De puerta de vidrio y division </t>
  </si>
  <si>
    <t>Material proteccion</t>
  </si>
  <si>
    <t>Movimiento de materiales</t>
  </si>
  <si>
    <t>Dia</t>
  </si>
  <si>
    <t>Retiro de escombros</t>
  </si>
  <si>
    <t>MAMPOSTERIAS</t>
  </si>
  <si>
    <t>Muros en Dry Wall dos caras 12Cm con frescasa</t>
  </si>
  <si>
    <t>ML</t>
  </si>
  <si>
    <t>Dinteles en drywall con frescasa</t>
  </si>
  <si>
    <t>PAÑETES - ENCHAPES - CIELORASOS</t>
  </si>
  <si>
    <t>Filos de muros y columnas</t>
  </si>
  <si>
    <t>regatas en muros y pisos incluye resane</t>
  </si>
  <si>
    <t>instalacion de enchapes segun diseño</t>
  </si>
  <si>
    <t>Dilataciones en z de cielo raso</t>
  </si>
  <si>
    <t>Cieloraso en Drywall con frescasa</t>
  </si>
  <si>
    <t>Reforzamiento cielo raso y muros para vidrios y puertas</t>
  </si>
  <si>
    <t>4.00</t>
  </si>
  <si>
    <t>PISOS</t>
  </si>
  <si>
    <t>Alistado de piso</t>
  </si>
  <si>
    <t>Suministro e instalacion de guarda escoba aglomerado  según referencia</t>
  </si>
  <si>
    <t>INSTALACION ELECTRICA  Y DATOS</t>
  </si>
  <si>
    <t>Salida para luminaria de pasillo</t>
  </si>
  <si>
    <t>Salida para luminaria lineal cinta led</t>
  </si>
  <si>
    <t>Salida para luminaria lineal colgante</t>
  </si>
  <si>
    <t>Salida para balas recesadas pequeñas dobles</t>
  </si>
  <si>
    <t>Salida para interruptores dobles</t>
  </si>
  <si>
    <t>Salida para luz hermetica</t>
  </si>
  <si>
    <t xml:space="preserve">Salida para puerta principal </t>
  </si>
  <si>
    <t>Salida para luminaria colgante (INCLUYE SUMINISTRO)</t>
  </si>
  <si>
    <t>Instalación de luminaria lineal cinta led ( INCLUYE SUMINISTRO)</t>
  </si>
  <si>
    <t>Instalación de luminaria lineal colgante especial(INCLUYE SUMINISTRO)</t>
  </si>
  <si>
    <t>Suministro e intalacion de luz hermatica</t>
  </si>
  <si>
    <t>instalacion iluminaria  balas recesadas (INCLUYE SUMINISTRO)</t>
  </si>
  <si>
    <t>Instalacion de interruptores dobles (INCLUYE SUMINISTRO)</t>
  </si>
  <si>
    <t>suministro he instalacion de iman para puerta principal</t>
  </si>
  <si>
    <t>Salida para tomacorriente red normal doble Nema 5-15R 120VAC Levitón standard color blanco o similar en tuberia</t>
  </si>
  <si>
    <t>Salida para tomacorriente red GFCI Nema 5-15R 120VAC Levitón standard color blanco o similar en tuberia</t>
  </si>
  <si>
    <t>Salidas tomacorriente sistema regulado</t>
  </si>
  <si>
    <t>Salida para tomacorrientes doblesmarca Levitón color naranja red regulada de mesas de trabajo. Cada salida con ciruito independiente en cable 10 AWG</t>
  </si>
  <si>
    <t>Patch panel categoria 6A de 24 puertos</t>
  </si>
  <si>
    <t xml:space="preserve">UN </t>
  </si>
  <si>
    <t>Telecomunicaciones</t>
  </si>
  <si>
    <t xml:space="preserve">Salida para punto de datos en CAT 6A </t>
  </si>
  <si>
    <t>Certificaciones CAT 6A</t>
  </si>
  <si>
    <t>Movimiento de acometidas</t>
  </si>
  <si>
    <t>Puntos para red wifi</t>
  </si>
  <si>
    <t xml:space="preserve"> ELECTRICO</t>
  </si>
  <si>
    <t>Tablero ELECTRICO</t>
  </si>
  <si>
    <t>Aire acondicionado</t>
  </si>
  <si>
    <t>Limpieza, pintura y ajuste de rejillas existentes y ducteria</t>
  </si>
  <si>
    <t>CARPINTERIAS ALUMINIO + CRISTALES</t>
  </si>
  <si>
    <r>
      <rPr>
        <sz val="8"/>
        <color theme="1"/>
        <rFont val="Arial"/>
        <family val="2"/>
      </rPr>
      <t>Suministro e Instalación de Divisiones fijas enmarcadas y reticuladas en perfileria de aluminio,</t>
    </r>
    <r>
      <rPr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Ref: ALN-416, ALN-292, ALN-177, Incluye empaques de neopreno, Cristal laminado crudo 4+4</t>
    </r>
    <r>
      <rPr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Incoloro para parte superior e inferior y Cristal laminado 4+4 con PVB Blanco sólido para parte media.</t>
    </r>
    <r>
      <rPr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NOTA: No Incluye refuerzos, estos estarán a cargo del cliente contratante.</t>
    </r>
  </si>
  <si>
    <t>Suministro e Instalación de Puerta batiente enmarcada en perfileria de aluminio, Ref: ALN-1102,
ALN-177, ALN-839, Tubular de 2x1, bisagras omega, incluye empaques de neopreno, tope de
piso, cerradura de palanca Bari; Cristal laminado crudo 4+4 Incoloro.</t>
  </si>
  <si>
    <t>PINTURA GENERAL</t>
  </si>
  <si>
    <t>Pañete</t>
  </si>
  <si>
    <t>Pintura vinilica</t>
  </si>
  <si>
    <t xml:space="preserve">pintura en placa </t>
  </si>
  <si>
    <t>Pintura vinilica blanca en cieloraso</t>
  </si>
  <si>
    <t>descripcion</t>
  </si>
  <si>
    <t>item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</si>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</sst>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"/>
    <numFmt numFmtId="165" formatCode="_-&quot;$&quot;* #,##0_-;\-&quot;$&quot;* #,##0_-;_-&quot;$&quot;* &quot;-&quot;_-;_-@"/>
    <numFmt numFmtId="166" formatCode="_(* #,##0.00_);_(* \(#,##0.00\);_(* &quot;-&quot;??_);_(@_)"/>
    <numFmt numFmtId="167" formatCode="_-&quot;$&quot;* #,##0_-;\-&quot;$&quot;* #,##0_-;_-&quot;$&quot;* &quot;-&quot;??_-;_-@"/>
    <numFmt numFmtId="168" formatCode="&quot;$&quot;#,##0_);[Red]\(&quot;$&quot;#,##0\)"/>
    <numFmt numFmtId="169" formatCode="d&quot; de &quot;mmm&quot; de &quot;yy"/>
    <numFmt numFmtId="170" formatCode="#,##0.0_ ;[Red]\-#,##0.0\ "/>
    <numFmt numFmtId="171" formatCode="_(* #,##0_);_(* \(#,##0\);_(* \-_);_(@_)"/>
  </numFmts>
  <fonts count="9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name val="Aptos Narrow"/>
      <family val="2"/>
      <scheme val="minor"/>
    </font>
    <font>
      <sz val="9"/>
      <color theme="1"/>
      <name val="Century Gothic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  <font>
      <b/>
      <sz val="9"/>
      <color theme="0"/>
      <name val="Century Gothic"/>
      <family val="2"/>
    </font>
  </fonts>
  <fills count="2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7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BFBFBF"/>
      </patternFill>
    </fill>
    <fill>
      <patternFill patternType="solid">
        <fgColor theme="0" tint="-0.14999847407452621"/>
        <bgColor rgb="FFA8D08D"/>
      </patternFill>
    </fill>
    <fill>
      <patternFill patternType="solid">
        <fgColor theme="5"/>
        <bgColor rgb="FFA8D08D"/>
      </patternFill>
    </fill>
    <fill>
      <patternFill patternType="solid">
        <fgColor theme="0" tint="-0.14999847407452621"/>
        <bgColor rgb="FFFCFE9C"/>
      </patternFill>
    </fill>
    <fill>
      <patternFill patternType="solid">
        <fgColor theme="7"/>
        <bgColor rgb="FFFCFE9C"/>
      </patternFill>
    </fill>
    <fill>
      <patternFill patternType="solid">
        <fgColor theme="7"/>
        <bgColor rgb="FFFFFF99"/>
      </patternFill>
    </fill>
    <fill>
      <patternFill patternType="solid">
        <fgColor theme="0" tint="-0.14999847407452621"/>
        <bgColor rgb="FFFFFF99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7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theme="7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DADADA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4B083"/>
      </patternFill>
    </fill>
    <fill>
      <patternFill patternType="solid">
        <fgColor theme="0"/>
        <bgColor rgb="FFFFFF99"/>
      </patternFill>
    </fill>
    <fill>
      <patternFill patternType="solid">
        <fgColor rgb="FFC8C8C8"/>
        <bgColor rgb="FFC8C8C8"/>
      </patternFill>
    </fill>
    <fill>
      <patternFill patternType="solid">
        <fgColor theme="7"/>
        <bgColor rgb="FFC8C8C8"/>
      </patternFill>
    </fill>
    <fill>
      <patternFill patternType="solid">
        <fgColor rgb="FFFC4A1A"/>
        <bgColor indexed="64"/>
      </patternFill>
    </fill>
    <fill>
      <patternFill patternType="solid">
        <fgColor rgb="FFD8D8D8"/>
        <bgColor rgb="FFD8D8D8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2" borderId="2" xfId="0" applyFont="1" applyFill="1" applyBorder="1"/>
    <xf numFmtId="0" fontId="3" fillId="0" borderId="3" xfId="0" applyFont="1" applyBorder="1"/>
    <xf numFmtId="164" fontId="2" fillId="2" borderId="4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vertical="center"/>
    </xf>
    <xf numFmtId="165" fontId="4" fillId="4" borderId="6" xfId="0" applyNumberFormat="1" applyFont="1" applyFill="1" applyBorder="1" applyAlignment="1">
      <alignment vertical="center"/>
    </xf>
    <xf numFmtId="167" fontId="2" fillId="2" borderId="4" xfId="0" applyNumberFormat="1" applyFont="1" applyFill="1" applyBorder="1"/>
    <xf numFmtId="0" fontId="2" fillId="5" borderId="5" xfId="0" applyFont="1" applyFill="1" applyBorder="1" applyAlignment="1">
      <alignment horizontal="left" vertical="top"/>
    </xf>
    <xf numFmtId="165" fontId="4" fillId="4" borderId="6" xfId="0" applyNumberFormat="1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164" fontId="2" fillId="6" borderId="4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center" vertical="center"/>
    </xf>
    <xf numFmtId="166" fontId="2" fillId="6" borderId="4" xfId="0" applyNumberFormat="1" applyFont="1" applyFill="1" applyBorder="1" applyAlignment="1">
      <alignment vertical="center"/>
    </xf>
    <xf numFmtId="167" fontId="2" fillId="6" borderId="9" xfId="0" applyNumberFormat="1" applyFont="1" applyFill="1" applyBorder="1" applyAlignment="1">
      <alignment vertical="center"/>
    </xf>
    <xf numFmtId="164" fontId="2" fillId="6" borderId="5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center" vertical="center"/>
    </xf>
    <xf numFmtId="166" fontId="2" fillId="6" borderId="5" xfId="0" applyNumberFormat="1" applyFont="1" applyFill="1" applyBorder="1" applyAlignment="1">
      <alignment vertical="center"/>
    </xf>
    <xf numFmtId="0" fontId="1" fillId="2" borderId="11" xfId="0" applyFont="1" applyFill="1" applyBorder="1"/>
    <xf numFmtId="0" fontId="3" fillId="0" borderId="12" xfId="0" applyFont="1" applyBorder="1"/>
    <xf numFmtId="164" fontId="6" fillId="8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top"/>
    </xf>
    <xf numFmtId="0" fontId="6" fillId="8" borderId="4" xfId="0" applyFont="1" applyFill="1" applyBorder="1" applyAlignment="1">
      <alignment horizontal="center"/>
    </xf>
    <xf numFmtId="166" fontId="2" fillId="8" borderId="4" xfId="0" applyNumberFormat="1" applyFont="1" applyFill="1" applyBorder="1" applyAlignment="1">
      <alignment vertical="center"/>
    </xf>
    <xf numFmtId="165" fontId="4" fillId="4" borderId="6" xfId="0" applyNumberFormat="1" applyFont="1" applyFill="1" applyBorder="1"/>
    <xf numFmtId="165" fontId="2" fillId="8" borderId="4" xfId="0" applyNumberFormat="1" applyFont="1" applyFill="1" applyBorder="1"/>
    <xf numFmtId="0" fontId="6" fillId="9" borderId="5" xfId="0" applyFont="1" applyFill="1" applyBorder="1" applyAlignment="1">
      <alignment horizontal="left" vertical="top"/>
    </xf>
    <xf numFmtId="0" fontId="6" fillId="8" borderId="5" xfId="0" applyFont="1" applyFill="1" applyBorder="1" applyAlignment="1">
      <alignment horizontal="center"/>
    </xf>
    <xf numFmtId="166" fontId="2" fillId="8" borderId="5" xfId="0" applyNumberFormat="1" applyFont="1" applyFill="1" applyBorder="1" applyAlignment="1">
      <alignment vertical="center"/>
    </xf>
    <xf numFmtId="0" fontId="6" fillId="10" borderId="5" xfId="0" applyFont="1" applyFill="1" applyBorder="1" applyAlignment="1">
      <alignment horizontal="left" vertical="top"/>
    </xf>
    <xf numFmtId="0" fontId="6" fillId="11" borderId="5" xfId="0" applyFont="1" applyFill="1" applyBorder="1" applyAlignment="1">
      <alignment horizontal="center" vertical="center"/>
    </xf>
    <xf numFmtId="166" fontId="2" fillId="11" borderId="5" xfId="0" applyNumberFormat="1" applyFont="1" applyFill="1" applyBorder="1" applyAlignment="1">
      <alignment vertical="center"/>
    </xf>
    <xf numFmtId="0" fontId="6" fillId="11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vertical="center"/>
    </xf>
    <xf numFmtId="164" fontId="2" fillId="12" borderId="4" xfId="0" applyNumberFormat="1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left" vertical="top"/>
    </xf>
    <xf numFmtId="0" fontId="2" fillId="12" borderId="4" xfId="0" applyFont="1" applyFill="1" applyBorder="1" applyAlignment="1">
      <alignment horizontal="center"/>
    </xf>
    <xf numFmtId="166" fontId="2" fillId="12" borderId="4" xfId="0" applyNumberFormat="1" applyFont="1" applyFill="1" applyBorder="1" applyAlignment="1">
      <alignment vertical="center"/>
    </xf>
    <xf numFmtId="167" fontId="2" fillId="12" borderId="4" xfId="0" applyNumberFormat="1" applyFont="1" applyFill="1" applyBorder="1"/>
    <xf numFmtId="0" fontId="2" fillId="12" borderId="5" xfId="0" applyFont="1" applyFill="1" applyBorder="1" applyAlignment="1">
      <alignment horizontal="center" vertical="center"/>
    </xf>
    <xf numFmtId="166" fontId="2" fillId="12" borderId="5" xfId="0" applyNumberFormat="1" applyFont="1" applyFill="1" applyBorder="1" applyAlignment="1">
      <alignment vertical="center"/>
    </xf>
    <xf numFmtId="0" fontId="2" fillId="13" borderId="5" xfId="0" applyFont="1" applyFill="1" applyBorder="1" applyAlignment="1">
      <alignment horizontal="left" vertical="top"/>
    </xf>
    <xf numFmtId="0" fontId="2" fillId="12" borderId="5" xfId="0" applyFont="1" applyFill="1" applyBorder="1" applyAlignment="1">
      <alignment horizontal="center"/>
    </xf>
    <xf numFmtId="0" fontId="5" fillId="2" borderId="13" xfId="0" applyFont="1" applyFill="1" applyBorder="1"/>
    <xf numFmtId="0" fontId="3" fillId="0" borderId="0" xfId="0" applyFont="1"/>
    <xf numFmtId="167" fontId="5" fillId="2" borderId="15" xfId="0" applyNumberFormat="1" applyFont="1" applyFill="1" applyBorder="1"/>
    <xf numFmtId="0" fontId="3" fillId="0" borderId="17" xfId="0" applyFont="1" applyBorder="1"/>
    <xf numFmtId="0" fontId="6" fillId="14" borderId="4" xfId="0" applyFont="1" applyFill="1" applyBorder="1" applyAlignment="1">
      <alignment horizontal="left" vertical="top"/>
    </xf>
    <xf numFmtId="0" fontId="2" fillId="14" borderId="4" xfId="0" applyFont="1" applyFill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2" fillId="14" borderId="4" xfId="0" applyNumberFormat="1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left" vertical="top"/>
    </xf>
    <xf numFmtId="0" fontId="2" fillId="14" borderId="5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left" vertical="top"/>
    </xf>
    <xf numFmtId="0" fontId="2" fillId="14" borderId="19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left" vertical="top"/>
    </xf>
    <xf numFmtId="0" fontId="5" fillId="2" borderId="8" xfId="0" applyFont="1" applyFill="1" applyBorder="1"/>
    <xf numFmtId="0" fontId="6" fillId="15" borderId="16" xfId="0" applyFont="1" applyFill="1" applyBorder="1" applyAlignment="1">
      <alignment horizontal="left" vertical="top"/>
    </xf>
    <xf numFmtId="0" fontId="2" fillId="14" borderId="14" xfId="0" applyFont="1" applyFill="1" applyBorder="1" applyAlignment="1">
      <alignment horizontal="center" vertical="center"/>
    </xf>
    <xf numFmtId="165" fontId="2" fillId="14" borderId="9" xfId="0" applyNumberFormat="1" applyFont="1" applyFill="1" applyBorder="1" applyAlignment="1">
      <alignment horizontal="center" vertical="center"/>
    </xf>
    <xf numFmtId="164" fontId="6" fillId="16" borderId="4" xfId="0" applyNumberFormat="1" applyFont="1" applyFill="1" applyBorder="1" applyAlignment="1">
      <alignment horizontal="center" vertical="center"/>
    </xf>
    <xf numFmtId="0" fontId="5" fillId="2" borderId="20" xfId="0" applyFont="1" applyFill="1" applyBorder="1"/>
    <xf numFmtId="0" fontId="3" fillId="0" borderId="21" xfId="0" applyFont="1" applyBorder="1"/>
    <xf numFmtId="0" fontId="6" fillId="17" borderId="4" xfId="0" applyFont="1" applyFill="1" applyBorder="1" applyAlignment="1">
      <alignment horizontal="left" vertical="top"/>
    </xf>
    <xf numFmtId="0" fontId="5" fillId="18" borderId="11" xfId="0" applyFont="1" applyFill="1" applyBorder="1"/>
    <xf numFmtId="0" fontId="3" fillId="4" borderId="12" xfId="0" applyFont="1" applyFill="1" applyBorder="1"/>
    <xf numFmtId="164" fontId="6" fillId="19" borderId="4" xfId="0" applyNumberFormat="1" applyFont="1" applyFill="1" applyBorder="1" applyAlignment="1">
      <alignment horizontal="center" vertical="center"/>
    </xf>
    <xf numFmtId="0" fontId="6" fillId="19" borderId="19" xfId="0" applyFont="1" applyFill="1" applyBorder="1" applyAlignment="1">
      <alignment horizontal="left" vertical="center"/>
    </xf>
    <xf numFmtId="0" fontId="2" fillId="19" borderId="19" xfId="0" applyFont="1" applyFill="1" applyBorder="1" applyAlignment="1">
      <alignment horizontal="center" vertical="center"/>
    </xf>
    <xf numFmtId="165" fontId="2" fillId="19" borderId="22" xfId="0" applyNumberFormat="1" applyFont="1" applyFill="1" applyBorder="1" applyAlignment="1">
      <alignment horizontal="center" vertical="center"/>
    </xf>
    <xf numFmtId="165" fontId="2" fillId="19" borderId="1" xfId="0" applyNumberFormat="1" applyFont="1" applyFill="1" applyBorder="1" applyAlignment="1">
      <alignment horizontal="center" vertical="center"/>
    </xf>
    <xf numFmtId="164" fontId="2" fillId="20" borderId="9" xfId="0" applyNumberFormat="1" applyFont="1" applyFill="1" applyBorder="1" applyAlignment="1">
      <alignment horizontal="center" vertical="center"/>
    </xf>
    <xf numFmtId="0" fontId="5" fillId="2" borderId="23" xfId="0" applyFont="1" applyFill="1" applyBorder="1"/>
    <xf numFmtId="0" fontId="3" fillId="0" borderId="7" xfId="0" applyFont="1" applyBorder="1"/>
    <xf numFmtId="0" fontId="2" fillId="20" borderId="10" xfId="0" applyFont="1" applyFill="1" applyBorder="1" applyAlignment="1">
      <alignment horizontal="center" vertical="center" readingOrder="1"/>
    </xf>
    <xf numFmtId="0" fontId="2" fillId="0" borderId="24" xfId="0" applyFont="1" applyBorder="1" applyAlignment="1">
      <alignment vertical="top"/>
    </xf>
    <xf numFmtId="0" fontId="2" fillId="0" borderId="24" xfId="0" applyFont="1" applyBorder="1" applyAlignment="1">
      <alignment horizontal="center" vertical="center" readingOrder="1"/>
    </xf>
    <xf numFmtId="0" fontId="2" fillId="0" borderId="24" xfId="0" applyFont="1" applyBorder="1" applyAlignment="1">
      <alignment horizontal="right" vertical="center" readingOrder="1"/>
    </xf>
    <xf numFmtId="168" fontId="2" fillId="0" borderId="24" xfId="0" applyNumberFormat="1" applyFont="1" applyBorder="1" applyAlignment="1">
      <alignment horizontal="right" vertical="center" readingOrder="1"/>
    </xf>
    <xf numFmtId="0" fontId="2" fillId="20" borderId="25" xfId="0" applyFont="1" applyFill="1" applyBorder="1" applyAlignment="1">
      <alignment horizontal="center" vertical="center" readingOrder="1"/>
    </xf>
    <xf numFmtId="0" fontId="2" fillId="21" borderId="26" xfId="0" applyFont="1" applyFill="1" applyBorder="1" applyAlignment="1">
      <alignment horizontal="center" vertical="center" readingOrder="1"/>
    </xf>
    <xf numFmtId="0" fontId="2" fillId="22" borderId="27" xfId="0" applyFont="1" applyFill="1" applyBorder="1" applyAlignment="1">
      <alignment horizontal="left" vertical="top" readingOrder="1"/>
    </xf>
    <xf numFmtId="0" fontId="2" fillId="21" borderId="27" xfId="0" applyFont="1" applyFill="1" applyBorder="1" applyAlignment="1">
      <alignment horizontal="center" vertical="center" readingOrder="1"/>
    </xf>
    <xf numFmtId="0" fontId="2" fillId="21" borderId="24" xfId="0" applyFont="1" applyFill="1" applyBorder="1" applyAlignment="1">
      <alignment horizontal="right" vertical="center" readingOrder="1"/>
    </xf>
    <xf numFmtId="168" fontId="2" fillId="21" borderId="24" xfId="0" applyNumberFormat="1" applyFont="1" applyFill="1" applyBorder="1" applyAlignment="1">
      <alignment horizontal="right" vertical="center" readingOrder="1"/>
    </xf>
    <xf numFmtId="0" fontId="2" fillId="21" borderId="28" xfId="0" applyFont="1" applyFill="1" applyBorder="1" applyAlignment="1">
      <alignment horizontal="center" vertical="center" readingOrder="1"/>
    </xf>
    <xf numFmtId="0" fontId="2" fillId="22" borderId="24" xfId="0" applyFont="1" applyFill="1" applyBorder="1" applyAlignment="1">
      <alignment horizontal="left" vertical="top" readingOrder="1"/>
    </xf>
    <xf numFmtId="0" fontId="2" fillId="21" borderId="24" xfId="0" applyFont="1" applyFill="1" applyBorder="1" applyAlignment="1">
      <alignment horizontal="center" vertical="center" readingOrder="1"/>
    </xf>
    <xf numFmtId="0" fontId="2" fillId="21" borderId="29" xfId="0" applyFont="1" applyFill="1" applyBorder="1" applyAlignment="1">
      <alignment horizontal="left" vertical="top" readingOrder="1"/>
    </xf>
    <xf numFmtId="0" fontId="2" fillId="21" borderId="29" xfId="0" applyFont="1" applyFill="1" applyBorder="1" applyAlignment="1">
      <alignment horizontal="center" vertical="center" readingOrder="1"/>
    </xf>
    <xf numFmtId="0" fontId="2" fillId="21" borderId="29" xfId="0" applyFont="1" applyFill="1" applyBorder="1" applyAlignment="1">
      <alignment horizontal="right" vertical="center" readingOrder="1"/>
    </xf>
    <xf numFmtId="0" fontId="2" fillId="22" borderId="30" xfId="0" applyFont="1" applyFill="1" applyBorder="1" applyAlignment="1">
      <alignment horizontal="left" vertical="top" readingOrder="1"/>
    </xf>
    <xf numFmtId="0" fontId="2" fillId="21" borderId="30" xfId="0" applyFont="1" applyFill="1" applyBorder="1" applyAlignment="1">
      <alignment horizontal="center" vertical="center" readingOrder="1"/>
    </xf>
    <xf numFmtId="0" fontId="2" fillId="21" borderId="30" xfId="0" applyFont="1" applyFill="1" applyBorder="1" applyAlignment="1">
      <alignment horizontal="right" vertical="center" readingOrder="1"/>
    </xf>
    <xf numFmtId="168" fontId="2" fillId="21" borderId="30" xfId="0" applyNumberFormat="1" applyFont="1" applyFill="1" applyBorder="1" applyAlignment="1">
      <alignment horizontal="right" vertical="center" readingOrder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7" fillId="0" borderId="0" xfId="0" applyFont="1"/>
    <xf numFmtId="165" fontId="7" fillId="0" borderId="0" xfId="0" applyNumberFormat="1" applyFont="1"/>
    <xf numFmtId="0" fontId="8" fillId="23" borderId="31" xfId="0" applyFont="1" applyFill="1" applyBorder="1" applyAlignment="1">
      <alignment vertical="center"/>
    </xf>
    <xf numFmtId="0" fontId="8" fillId="23" borderId="31" xfId="0" applyFont="1" applyFill="1" applyBorder="1" applyAlignment="1">
      <alignment horizontal="center" vertical="center" wrapText="1"/>
    </xf>
    <xf numFmtId="0" fontId="8" fillId="23" borderId="32" xfId="0" applyFont="1" applyFill="1" applyBorder="1" applyAlignment="1">
      <alignment vertical="center"/>
    </xf>
    <xf numFmtId="0" fontId="8" fillId="23" borderId="0" xfId="0" applyFont="1" applyFill="1" applyAlignment="1">
      <alignment vertical="center"/>
    </xf>
    <xf numFmtId="49" fontId="2" fillId="24" borderId="33" xfId="0" applyNumberFormat="1" applyFont="1" applyFill="1" applyBorder="1" applyAlignment="1">
      <alignment vertical="center"/>
    </xf>
    <xf numFmtId="169" fontId="2" fillId="24" borderId="6" xfId="0" applyNumberFormat="1" applyFont="1" applyFill="1" applyBorder="1" applyAlignment="1">
      <alignment vertical="center" wrapText="1"/>
    </xf>
    <xf numFmtId="49" fontId="2" fillId="24" borderId="6" xfId="0" applyNumberFormat="1" applyFont="1" applyFill="1" applyBorder="1" applyAlignment="1">
      <alignment horizontal="center" vertical="center"/>
    </xf>
    <xf numFmtId="170" fontId="2" fillId="24" borderId="6" xfId="0" applyNumberFormat="1" applyFont="1" applyFill="1" applyBorder="1" applyAlignment="1">
      <alignment horizontal="center" vertical="center"/>
    </xf>
    <xf numFmtId="171" fontId="2" fillId="24" borderId="6" xfId="0" applyNumberFormat="1" applyFont="1" applyFill="1" applyBorder="1" applyAlignment="1">
      <alignment horizontal="center" vertical="center"/>
    </xf>
    <xf numFmtId="3" fontId="2" fillId="2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F7A2-617F-4C6F-B14E-383F507AE34D}">
  <dimension ref="A1:F71"/>
  <sheetViews>
    <sheetView tabSelected="1" workbookViewId="0">
      <selection activeCell="B2" sqref="B2"/>
    </sheetView>
  </sheetViews>
  <sheetFormatPr baseColWidth="10" defaultRowHeight="15" x14ac:dyDescent="0.25"/>
  <cols>
    <col min="1" max="1" width="6.85546875" bestFit="1" customWidth="1"/>
    <col min="2" max="2" width="34.140625" customWidth="1"/>
    <col min="6" max="6" width="19.28515625" customWidth="1"/>
  </cols>
  <sheetData>
    <row r="1" spans="1:6" x14ac:dyDescent="0.25">
      <c r="A1" s="108" t="s">
        <v>73</v>
      </c>
      <c r="B1" s="109" t="s">
        <v>72</v>
      </c>
      <c r="C1" s="110" t="s">
        <v>74</v>
      </c>
      <c r="D1" s="111" t="s">
        <v>75</v>
      </c>
      <c r="E1" s="112" t="s">
        <v>76</v>
      </c>
      <c r="F1" s="113" t="s">
        <v>77</v>
      </c>
    </row>
    <row r="2" spans="1:6" x14ac:dyDescent="0.25">
      <c r="A2" s="104">
        <v>1</v>
      </c>
      <c r="B2" s="105" t="s">
        <v>1</v>
      </c>
      <c r="C2" s="104"/>
      <c r="D2" s="104"/>
      <c r="E2" s="106"/>
      <c r="F2" s="107"/>
    </row>
    <row r="3" spans="1:6" x14ac:dyDescent="0.25">
      <c r="A3" s="4">
        <v>1.01</v>
      </c>
      <c r="B3" s="5" t="s">
        <v>2</v>
      </c>
      <c r="C3" s="6" t="s">
        <v>3</v>
      </c>
      <c r="D3" s="7">
        <v>3</v>
      </c>
      <c r="E3" s="8">
        <v>18500</v>
      </c>
      <c r="F3" s="9">
        <f t="shared" ref="F3:F15" si="0">+D3*E3</f>
        <v>55500</v>
      </c>
    </row>
    <row r="4" spans="1:6" x14ac:dyDescent="0.25">
      <c r="A4" s="4">
        <v>1.02</v>
      </c>
      <c r="B4" s="10" t="s">
        <v>4</v>
      </c>
      <c r="C4" s="6" t="s">
        <v>3</v>
      </c>
      <c r="D4" s="7">
        <f>(3.9+3.9+1+1+1.8+1+3.35+1+1+1+1+7.7+1.42+1.42+1.42)*2.5</f>
        <v>79.775000000000006</v>
      </c>
      <c r="E4" s="8">
        <v>16900</v>
      </c>
      <c r="F4" s="9">
        <f t="shared" si="0"/>
        <v>1348197.5</v>
      </c>
    </row>
    <row r="5" spans="1:6" x14ac:dyDescent="0.25">
      <c r="A5" s="4">
        <v>1.03</v>
      </c>
      <c r="B5" s="5" t="s">
        <v>5</v>
      </c>
      <c r="C5" s="6" t="s">
        <v>3</v>
      </c>
      <c r="D5" s="7">
        <f>150-46</f>
        <v>104</v>
      </c>
      <c r="E5" s="8">
        <v>17200</v>
      </c>
      <c r="F5" s="9">
        <f t="shared" si="0"/>
        <v>1788800</v>
      </c>
    </row>
    <row r="6" spans="1:6" x14ac:dyDescent="0.25">
      <c r="A6" s="4">
        <v>1.04</v>
      </c>
      <c r="B6" s="5" t="s">
        <v>6</v>
      </c>
      <c r="C6" s="6" t="s">
        <v>3</v>
      </c>
      <c r="D6" s="7">
        <v>36</v>
      </c>
      <c r="E6" s="8">
        <v>18000</v>
      </c>
      <c r="F6" s="9">
        <f t="shared" si="0"/>
        <v>648000</v>
      </c>
    </row>
    <row r="7" spans="1:6" x14ac:dyDescent="0.25">
      <c r="A7" s="4">
        <v>1.05</v>
      </c>
      <c r="B7" s="5" t="s">
        <v>7</v>
      </c>
      <c r="C7" s="6" t="s">
        <v>3</v>
      </c>
      <c r="D7" s="7">
        <v>138</v>
      </c>
      <c r="E7" s="8">
        <v>16000</v>
      </c>
      <c r="F7" s="9">
        <f t="shared" si="0"/>
        <v>2208000</v>
      </c>
    </row>
    <row r="8" spans="1:6" x14ac:dyDescent="0.25">
      <c r="A8" s="4">
        <v>1.06</v>
      </c>
      <c r="B8" s="5" t="s">
        <v>8</v>
      </c>
      <c r="C8" s="6" t="s">
        <v>9</v>
      </c>
      <c r="D8" s="7">
        <v>1</v>
      </c>
      <c r="E8" s="8">
        <v>65000</v>
      </c>
      <c r="F8" s="9">
        <f t="shared" si="0"/>
        <v>65000</v>
      </c>
    </row>
    <row r="9" spans="1:6" x14ac:dyDescent="0.25">
      <c r="A9" s="4">
        <v>1.07</v>
      </c>
      <c r="B9" s="5" t="s">
        <v>10</v>
      </c>
      <c r="C9" s="6" t="s">
        <v>9</v>
      </c>
      <c r="D9" s="7">
        <v>1</v>
      </c>
      <c r="E9" s="11">
        <v>850000</v>
      </c>
      <c r="F9" s="9">
        <f t="shared" si="0"/>
        <v>850000</v>
      </c>
    </row>
    <row r="10" spans="1:6" x14ac:dyDescent="0.25">
      <c r="A10" s="4">
        <v>1.0900000000000001</v>
      </c>
      <c r="B10" s="5" t="s">
        <v>11</v>
      </c>
      <c r="C10" s="6" t="s">
        <v>0</v>
      </c>
      <c r="D10" s="7">
        <v>4</v>
      </c>
      <c r="E10" s="8">
        <v>60000</v>
      </c>
      <c r="F10" s="9">
        <f t="shared" si="0"/>
        <v>240000</v>
      </c>
    </row>
    <row r="11" spans="1:6" x14ac:dyDescent="0.25">
      <c r="A11" s="4">
        <v>1.1000000000000001</v>
      </c>
      <c r="B11" s="5" t="s">
        <v>12</v>
      </c>
      <c r="C11" s="6" t="s">
        <v>3</v>
      </c>
      <c r="D11" s="7">
        <v>150</v>
      </c>
      <c r="E11" s="8">
        <v>9500</v>
      </c>
      <c r="F11" s="9">
        <f t="shared" si="0"/>
        <v>1425000</v>
      </c>
    </row>
    <row r="12" spans="1:6" x14ac:dyDescent="0.25">
      <c r="A12" s="4">
        <v>1.1100000000000001</v>
      </c>
      <c r="B12" s="5" t="s">
        <v>13</v>
      </c>
      <c r="C12" s="6" t="s">
        <v>9</v>
      </c>
      <c r="D12" s="7">
        <v>1</v>
      </c>
      <c r="E12" s="8">
        <v>550000</v>
      </c>
      <c r="F12" s="9">
        <f t="shared" si="0"/>
        <v>550000</v>
      </c>
    </row>
    <row r="13" spans="1:6" x14ac:dyDescent="0.25">
      <c r="A13" s="4">
        <v>1.1200000000000001</v>
      </c>
      <c r="B13" s="5" t="s">
        <v>14</v>
      </c>
      <c r="C13" s="6" t="s">
        <v>3</v>
      </c>
      <c r="D13" s="7">
        <f>(1.32+4.56+1+2.78)*2.3</f>
        <v>22.218</v>
      </c>
      <c r="E13" s="8">
        <v>55000</v>
      </c>
      <c r="F13" s="9">
        <f t="shared" si="0"/>
        <v>1221990</v>
      </c>
    </row>
    <row r="14" spans="1:6" x14ac:dyDescent="0.25">
      <c r="A14" s="4">
        <v>1.1299999999999999</v>
      </c>
      <c r="B14" s="5" t="s">
        <v>15</v>
      </c>
      <c r="C14" s="6" t="s">
        <v>0</v>
      </c>
      <c r="D14" s="7">
        <v>4</v>
      </c>
      <c r="E14" s="8">
        <v>150000</v>
      </c>
      <c r="F14" s="9">
        <f t="shared" si="0"/>
        <v>600000</v>
      </c>
    </row>
    <row r="15" spans="1:6" x14ac:dyDescent="0.25">
      <c r="A15" s="4">
        <v>1.1399999999999999</v>
      </c>
      <c r="B15" s="5" t="s">
        <v>16</v>
      </c>
      <c r="C15" s="6" t="s">
        <v>17</v>
      </c>
      <c r="D15" s="7">
        <v>2</v>
      </c>
      <c r="E15" s="8">
        <v>150000</v>
      </c>
      <c r="F15" s="9">
        <f t="shared" si="0"/>
        <v>300000</v>
      </c>
    </row>
    <row r="16" spans="1:6" x14ac:dyDescent="0.25">
      <c r="A16" s="4">
        <v>1.1499999999999999</v>
      </c>
      <c r="B16" s="5" t="s">
        <v>18</v>
      </c>
      <c r="C16" s="6" t="s">
        <v>9</v>
      </c>
      <c r="D16" s="7">
        <v>1</v>
      </c>
      <c r="E16" s="8">
        <v>1850000</v>
      </c>
      <c r="F16" s="9">
        <f>+D16*E16</f>
        <v>1850000</v>
      </c>
    </row>
    <row r="17" spans="1:6" x14ac:dyDescent="0.25">
      <c r="A17" s="104">
        <v>2</v>
      </c>
      <c r="B17" s="105" t="s">
        <v>19</v>
      </c>
      <c r="C17" s="104"/>
      <c r="D17" s="104"/>
      <c r="E17" s="106"/>
      <c r="F17" s="107"/>
    </row>
    <row r="18" spans="1:6" x14ac:dyDescent="0.25">
      <c r="A18" s="13">
        <v>2.0099999999999998</v>
      </c>
      <c r="B18" s="14" t="s">
        <v>20</v>
      </c>
      <c r="C18" s="15" t="s">
        <v>3</v>
      </c>
      <c r="D18" s="16">
        <f>(4.53)*3.8</f>
        <v>17.213999999999999</v>
      </c>
      <c r="E18" s="8">
        <v>127400</v>
      </c>
      <c r="F18" s="17">
        <f>+D18*E18</f>
        <v>2193063.5999999996</v>
      </c>
    </row>
    <row r="19" spans="1:6" x14ac:dyDescent="0.25">
      <c r="A19" s="18">
        <v>2.02</v>
      </c>
      <c r="B19" s="19" t="s">
        <v>20</v>
      </c>
      <c r="C19" s="20" t="s">
        <v>21</v>
      </c>
      <c r="D19" s="21">
        <f>3*3.8</f>
        <v>11.399999999999999</v>
      </c>
      <c r="E19" s="8">
        <f>E18*0.6</f>
        <v>76440</v>
      </c>
      <c r="F19" s="17">
        <f>+D19*E19</f>
        <v>871415.99999999988</v>
      </c>
    </row>
    <row r="20" spans="1:6" x14ac:dyDescent="0.25">
      <c r="A20" s="18">
        <v>2.04</v>
      </c>
      <c r="B20" s="19" t="s">
        <v>22</v>
      </c>
      <c r="C20" s="20" t="s">
        <v>21</v>
      </c>
      <c r="D20" s="21">
        <f>28*2</f>
        <v>56</v>
      </c>
      <c r="E20" s="8">
        <v>102600</v>
      </c>
      <c r="F20" s="17">
        <f>+D20*E20</f>
        <v>5745600</v>
      </c>
    </row>
    <row r="21" spans="1:6" x14ac:dyDescent="0.25">
      <c r="A21" s="1">
        <v>3</v>
      </c>
      <c r="B21" s="22" t="s">
        <v>23</v>
      </c>
      <c r="C21" s="23"/>
      <c r="D21" s="23"/>
      <c r="E21" s="23"/>
      <c r="F21" s="23"/>
    </row>
    <row r="22" spans="1:6" ht="15.75" x14ac:dyDescent="0.3">
      <c r="A22" s="24">
        <v>3.01</v>
      </c>
      <c r="B22" s="25" t="s">
        <v>24</v>
      </c>
      <c r="C22" s="26" t="s">
        <v>21</v>
      </c>
      <c r="D22" s="27">
        <f>28*3</f>
        <v>84</v>
      </c>
      <c r="E22" s="28">
        <v>14500</v>
      </c>
      <c r="F22" s="29">
        <f t="shared" ref="F22:F27" si="1">+D22*E22</f>
        <v>1218000</v>
      </c>
    </row>
    <row r="23" spans="1:6" ht="15.75" x14ac:dyDescent="0.3">
      <c r="A23" s="24">
        <v>3.02</v>
      </c>
      <c r="B23" s="30" t="s">
        <v>25</v>
      </c>
      <c r="C23" s="31" t="s">
        <v>21</v>
      </c>
      <c r="D23" s="32">
        <v>38</v>
      </c>
      <c r="E23" s="28">
        <v>16000</v>
      </c>
      <c r="F23" s="29">
        <f t="shared" si="1"/>
        <v>608000</v>
      </c>
    </row>
    <row r="24" spans="1:6" ht="15.75" x14ac:dyDescent="0.3">
      <c r="A24" s="24">
        <v>3.05</v>
      </c>
      <c r="B24" s="33" t="s">
        <v>26</v>
      </c>
      <c r="C24" s="34" t="s">
        <v>3</v>
      </c>
      <c r="D24" s="35">
        <v>8</v>
      </c>
      <c r="E24" s="28">
        <v>39600</v>
      </c>
      <c r="F24" s="29">
        <f t="shared" si="1"/>
        <v>316800</v>
      </c>
    </row>
    <row r="25" spans="1:6" ht="15.75" x14ac:dyDescent="0.3">
      <c r="A25" s="24">
        <v>3.06</v>
      </c>
      <c r="B25" s="33" t="s">
        <v>27</v>
      </c>
      <c r="C25" s="36" t="s">
        <v>21</v>
      </c>
      <c r="D25" s="35">
        <f>20*2</f>
        <v>40</v>
      </c>
      <c r="E25" s="28">
        <v>17600</v>
      </c>
      <c r="F25" s="29">
        <f t="shared" si="1"/>
        <v>704000</v>
      </c>
    </row>
    <row r="26" spans="1:6" x14ac:dyDescent="0.25">
      <c r="A26" s="24">
        <v>3.07</v>
      </c>
      <c r="B26" s="33" t="s">
        <v>28</v>
      </c>
      <c r="C26" s="34" t="s">
        <v>3</v>
      </c>
      <c r="D26" s="35">
        <f>15</f>
        <v>15</v>
      </c>
      <c r="E26" s="11">
        <f>81200+18400</f>
        <v>99600</v>
      </c>
      <c r="F26" s="29">
        <f t="shared" si="1"/>
        <v>1494000</v>
      </c>
    </row>
    <row r="27" spans="1:6" x14ac:dyDescent="0.25">
      <c r="A27" s="24">
        <v>3.14</v>
      </c>
      <c r="B27" s="30" t="s">
        <v>29</v>
      </c>
      <c r="C27" s="37" t="s">
        <v>21</v>
      </c>
      <c r="D27" s="32">
        <v>18</v>
      </c>
      <c r="E27" s="11">
        <v>45000</v>
      </c>
      <c r="F27" s="29">
        <f t="shared" si="1"/>
        <v>810000</v>
      </c>
    </row>
    <row r="28" spans="1:6" x14ac:dyDescent="0.25">
      <c r="A28" s="12" t="s">
        <v>30</v>
      </c>
      <c r="B28" s="2" t="s">
        <v>31</v>
      </c>
      <c r="C28" s="3"/>
      <c r="D28" s="3"/>
      <c r="E28" s="3"/>
      <c r="F28" s="3"/>
    </row>
    <row r="29" spans="1:6" ht="15.75" x14ac:dyDescent="0.3">
      <c r="A29" s="38">
        <v>4.01</v>
      </c>
      <c r="B29" s="39" t="s">
        <v>32</v>
      </c>
      <c r="C29" s="40" t="s">
        <v>3</v>
      </c>
      <c r="D29" s="41">
        <v>40</v>
      </c>
      <c r="E29" s="28">
        <v>41300</v>
      </c>
      <c r="F29" s="42">
        <f>+D29*E29</f>
        <v>1652000</v>
      </c>
    </row>
    <row r="30" spans="1:6" ht="15.75" x14ac:dyDescent="0.3">
      <c r="A30" s="38">
        <v>4.09</v>
      </c>
      <c r="B30" s="39" t="s">
        <v>26</v>
      </c>
      <c r="C30" s="43" t="s">
        <v>3</v>
      </c>
      <c r="D30" s="44">
        <v>138</v>
      </c>
      <c r="E30" s="28">
        <v>39000</v>
      </c>
      <c r="F30" s="42">
        <f>+D30*E30</f>
        <v>5382000</v>
      </c>
    </row>
    <row r="31" spans="1:6" x14ac:dyDescent="0.25">
      <c r="A31" s="38">
        <v>4.13</v>
      </c>
      <c r="B31" s="45" t="s">
        <v>33</v>
      </c>
      <c r="C31" s="46" t="s">
        <v>21</v>
      </c>
      <c r="D31" s="44">
        <v>96</v>
      </c>
      <c r="E31" s="8">
        <v>38700</v>
      </c>
      <c r="F31" s="42">
        <f>+D31*E31</f>
        <v>3715200</v>
      </c>
    </row>
    <row r="32" spans="1:6" x14ac:dyDescent="0.25">
      <c r="A32" s="12">
        <v>5</v>
      </c>
      <c r="B32" s="22" t="s">
        <v>34</v>
      </c>
      <c r="C32" s="23"/>
      <c r="D32" s="23"/>
      <c r="E32" s="23"/>
      <c r="F32" s="23"/>
    </row>
    <row r="33" spans="1:6" x14ac:dyDescent="0.25">
      <c r="A33" s="12">
        <v>5.01</v>
      </c>
      <c r="B33" s="51" t="s">
        <v>35</v>
      </c>
      <c r="C33" s="52" t="s">
        <v>0</v>
      </c>
      <c r="D33" s="52">
        <v>15</v>
      </c>
      <c r="E33" s="53">
        <v>121340</v>
      </c>
      <c r="F33" s="54">
        <f>+E33*D33</f>
        <v>1820100</v>
      </c>
    </row>
    <row r="34" spans="1:6" x14ac:dyDescent="0.25">
      <c r="A34" s="12">
        <v>5.03</v>
      </c>
      <c r="B34" s="55" t="s">
        <v>36</v>
      </c>
      <c r="C34" s="56" t="s">
        <v>0</v>
      </c>
      <c r="D34" s="56">
        <v>4</v>
      </c>
      <c r="E34" s="53">
        <v>121340</v>
      </c>
      <c r="F34" s="54">
        <f t="shared" ref="F34:F39" si="2">+E34*D34</f>
        <v>485360</v>
      </c>
    </row>
    <row r="35" spans="1:6" x14ac:dyDescent="0.25">
      <c r="A35" s="12">
        <v>5.04</v>
      </c>
      <c r="B35" s="57" t="s">
        <v>37</v>
      </c>
      <c r="C35" s="52" t="s">
        <v>0</v>
      </c>
      <c r="D35" s="52">
        <v>10</v>
      </c>
      <c r="E35" s="11">
        <v>121340</v>
      </c>
      <c r="F35" s="54">
        <f t="shared" si="2"/>
        <v>1213400</v>
      </c>
    </row>
    <row r="36" spans="1:6" x14ac:dyDescent="0.25">
      <c r="A36" s="12">
        <v>5.05</v>
      </c>
      <c r="B36" s="57" t="s">
        <v>38</v>
      </c>
      <c r="C36" s="52" t="s">
        <v>0</v>
      </c>
      <c r="D36" s="58">
        <v>14</v>
      </c>
      <c r="E36" s="11">
        <v>121340</v>
      </c>
      <c r="F36" s="54">
        <f t="shared" si="2"/>
        <v>1698760</v>
      </c>
    </row>
    <row r="37" spans="1:6" x14ac:dyDescent="0.25">
      <c r="A37" s="12">
        <v>5.0599999999999996</v>
      </c>
      <c r="B37" s="59" t="s">
        <v>39</v>
      </c>
      <c r="C37" s="58" t="s">
        <v>0</v>
      </c>
      <c r="D37" s="58">
        <v>8</v>
      </c>
      <c r="E37" s="11">
        <v>158300</v>
      </c>
      <c r="F37" s="54">
        <f t="shared" si="2"/>
        <v>1266400</v>
      </c>
    </row>
    <row r="38" spans="1:6" x14ac:dyDescent="0.25">
      <c r="A38" s="12">
        <v>5.07</v>
      </c>
      <c r="B38" s="59" t="s">
        <v>40</v>
      </c>
      <c r="C38" s="58" t="s">
        <v>0</v>
      </c>
      <c r="D38" s="58">
        <v>1</v>
      </c>
      <c r="E38" s="11">
        <v>121340</v>
      </c>
      <c r="F38" s="54">
        <f t="shared" si="2"/>
        <v>121340</v>
      </c>
    </row>
    <row r="39" spans="1:6" x14ac:dyDescent="0.25">
      <c r="A39" s="12">
        <v>5.08</v>
      </c>
      <c r="B39" s="59" t="s">
        <v>41</v>
      </c>
      <c r="C39" s="58" t="s">
        <v>0</v>
      </c>
      <c r="D39" s="58">
        <v>0</v>
      </c>
      <c r="E39" s="11">
        <v>185900</v>
      </c>
      <c r="F39" s="54">
        <f t="shared" si="2"/>
        <v>0</v>
      </c>
    </row>
    <row r="40" spans="1:6" x14ac:dyDescent="0.25">
      <c r="A40" s="12">
        <v>5.0999999999999996</v>
      </c>
      <c r="B40" s="55" t="s">
        <v>42</v>
      </c>
      <c r="C40" s="52" t="s">
        <v>0</v>
      </c>
      <c r="D40" s="52">
        <v>15</v>
      </c>
      <c r="E40" s="54">
        <v>245000</v>
      </c>
      <c r="F40" s="54">
        <f t="shared" ref="F40:F46" si="3">+E40*D40</f>
        <v>3675000</v>
      </c>
    </row>
    <row r="41" spans="1:6" x14ac:dyDescent="0.25">
      <c r="A41" s="12">
        <v>5.1100000000000003</v>
      </c>
      <c r="B41" s="55" t="s">
        <v>43</v>
      </c>
      <c r="C41" s="56" t="s">
        <v>21</v>
      </c>
      <c r="D41" s="56">
        <v>20</v>
      </c>
      <c r="E41" s="54">
        <v>41400</v>
      </c>
      <c r="F41" s="54">
        <f t="shared" si="3"/>
        <v>828000</v>
      </c>
    </row>
    <row r="42" spans="1:6" x14ac:dyDescent="0.25">
      <c r="A42" s="12">
        <v>5.12</v>
      </c>
      <c r="B42" s="55" t="s">
        <v>44</v>
      </c>
      <c r="C42" s="56" t="s">
        <v>0</v>
      </c>
      <c r="D42" s="56">
        <v>10</v>
      </c>
      <c r="E42" s="54">
        <f>350000*1.2</f>
        <v>420000</v>
      </c>
      <c r="F42" s="54">
        <f t="shared" si="3"/>
        <v>4200000</v>
      </c>
    </row>
    <row r="43" spans="1:6" x14ac:dyDescent="0.25">
      <c r="A43" s="12">
        <v>5.13</v>
      </c>
      <c r="B43" s="59" t="s">
        <v>45</v>
      </c>
      <c r="C43" s="56" t="s">
        <v>0</v>
      </c>
      <c r="D43" s="56">
        <v>1</v>
      </c>
      <c r="E43" s="54">
        <v>225000</v>
      </c>
      <c r="F43" s="54">
        <f t="shared" si="3"/>
        <v>225000</v>
      </c>
    </row>
    <row r="44" spans="1:6" x14ac:dyDescent="0.25">
      <c r="A44" s="12">
        <v>5.14</v>
      </c>
      <c r="B44" s="57" t="s">
        <v>46</v>
      </c>
      <c r="C44" s="56" t="s">
        <v>0</v>
      </c>
      <c r="D44" s="56">
        <v>14</v>
      </c>
      <c r="E44" s="54">
        <v>64200</v>
      </c>
      <c r="F44" s="54">
        <f t="shared" si="3"/>
        <v>898800</v>
      </c>
    </row>
    <row r="45" spans="1:6" x14ac:dyDescent="0.25">
      <c r="A45" s="12">
        <v>5.15</v>
      </c>
      <c r="B45" s="61" t="s">
        <v>47</v>
      </c>
      <c r="C45" s="56" t="s">
        <v>0</v>
      </c>
      <c r="D45" s="62">
        <v>8</v>
      </c>
      <c r="E45" s="63">
        <v>45800</v>
      </c>
      <c r="F45" s="54">
        <f t="shared" si="3"/>
        <v>366400</v>
      </c>
    </row>
    <row r="46" spans="1:6" x14ac:dyDescent="0.25">
      <c r="A46" s="12">
        <v>5.16</v>
      </c>
      <c r="B46" s="61" t="s">
        <v>48</v>
      </c>
      <c r="C46" s="56" t="s">
        <v>0</v>
      </c>
      <c r="D46" s="62">
        <v>0</v>
      </c>
      <c r="E46" s="63">
        <v>525000</v>
      </c>
      <c r="F46" s="54">
        <f t="shared" si="3"/>
        <v>0</v>
      </c>
    </row>
    <row r="47" spans="1:6" x14ac:dyDescent="0.25">
      <c r="A47" s="12">
        <v>5.2</v>
      </c>
      <c r="B47" s="57" t="s">
        <v>49</v>
      </c>
      <c r="C47" s="52" t="s">
        <v>0</v>
      </c>
      <c r="D47" s="52">
        <v>44</v>
      </c>
      <c r="E47" s="11">
        <v>132800</v>
      </c>
      <c r="F47" s="54">
        <f>+E47*D47</f>
        <v>5843200</v>
      </c>
    </row>
    <row r="48" spans="1:6" x14ac:dyDescent="0.25">
      <c r="A48" s="12">
        <v>5.21</v>
      </c>
      <c r="B48" s="57" t="s">
        <v>50</v>
      </c>
      <c r="C48" s="52" t="s">
        <v>0</v>
      </c>
      <c r="D48" s="52">
        <v>2</v>
      </c>
      <c r="E48" s="11">
        <v>161300</v>
      </c>
      <c r="F48" s="54">
        <f>+E48*D48</f>
        <v>322600</v>
      </c>
    </row>
    <row r="49" spans="1:6" x14ac:dyDescent="0.25">
      <c r="A49" s="12">
        <v>5.22</v>
      </c>
      <c r="B49" s="60" t="s">
        <v>51</v>
      </c>
      <c r="C49" s="50"/>
      <c r="D49" s="50"/>
      <c r="E49" s="50"/>
      <c r="F49" s="50"/>
    </row>
    <row r="50" spans="1:6" x14ac:dyDescent="0.25">
      <c r="A50" s="12">
        <v>5.23</v>
      </c>
      <c r="B50" s="57" t="s">
        <v>52</v>
      </c>
      <c r="C50" s="52" t="s">
        <v>0</v>
      </c>
      <c r="D50" s="52">
        <v>37</v>
      </c>
      <c r="E50" s="54">
        <v>137800</v>
      </c>
      <c r="F50" s="54">
        <f>+E50*D50</f>
        <v>5098600</v>
      </c>
    </row>
    <row r="51" spans="1:6" x14ac:dyDescent="0.25">
      <c r="A51" s="12">
        <v>5.2699999999999898</v>
      </c>
      <c r="B51" s="51" t="s">
        <v>53</v>
      </c>
      <c r="C51" s="52" t="s">
        <v>54</v>
      </c>
      <c r="D51" s="52">
        <v>1</v>
      </c>
      <c r="E51" s="54">
        <v>680000</v>
      </c>
      <c r="F51" s="54">
        <f>+E51*D51</f>
        <v>680000</v>
      </c>
    </row>
    <row r="52" spans="1:6" x14ac:dyDescent="0.25">
      <c r="A52" s="12">
        <v>5.2799999999999896</v>
      </c>
      <c r="B52" s="65" t="s">
        <v>55</v>
      </c>
      <c r="C52" s="66"/>
      <c r="D52" s="66"/>
      <c r="E52" s="66"/>
      <c r="F52" s="66"/>
    </row>
    <row r="53" spans="1:6" x14ac:dyDescent="0.25">
      <c r="A53" s="12">
        <v>5.2899999999999903</v>
      </c>
      <c r="B53" s="57" t="s">
        <v>56</v>
      </c>
      <c r="C53" s="52" t="s">
        <v>0</v>
      </c>
      <c r="D53" s="52">
        <v>12</v>
      </c>
      <c r="E53" s="11">
        <v>286900</v>
      </c>
      <c r="F53" s="54">
        <f>+E53*D53</f>
        <v>3442800</v>
      </c>
    </row>
    <row r="54" spans="1:6" x14ac:dyDescent="0.25">
      <c r="A54" s="12">
        <v>5.2999999999999901</v>
      </c>
      <c r="B54" s="57" t="s">
        <v>57</v>
      </c>
      <c r="C54" s="52" t="s">
        <v>0</v>
      </c>
      <c r="D54" s="52">
        <v>10</v>
      </c>
      <c r="E54" s="11">
        <v>35400</v>
      </c>
      <c r="F54" s="54">
        <f>+E54*D54</f>
        <v>354000</v>
      </c>
    </row>
    <row r="55" spans="1:6" x14ac:dyDescent="0.25">
      <c r="A55" s="12">
        <v>5.3099999999999898</v>
      </c>
      <c r="B55" s="51" t="s">
        <v>58</v>
      </c>
      <c r="C55" s="52" t="s">
        <v>0</v>
      </c>
      <c r="D55" s="52">
        <v>1</v>
      </c>
      <c r="E55" s="11">
        <f>118020*10</f>
        <v>1180200</v>
      </c>
      <c r="F55" s="54">
        <f>+E55*D55</f>
        <v>1180200</v>
      </c>
    </row>
    <row r="56" spans="1:6" x14ac:dyDescent="0.25">
      <c r="A56" s="12">
        <v>5.3199999999999896</v>
      </c>
      <c r="B56" s="57" t="s">
        <v>59</v>
      </c>
      <c r="C56" s="52" t="s">
        <v>0</v>
      </c>
      <c r="D56" s="52">
        <v>3</v>
      </c>
      <c r="E56" s="11">
        <v>286900</v>
      </c>
      <c r="F56" s="54">
        <f>+E56*D56</f>
        <v>860700</v>
      </c>
    </row>
    <row r="57" spans="1:6" x14ac:dyDescent="0.25">
      <c r="A57" s="12">
        <v>6</v>
      </c>
      <c r="B57" s="47" t="s">
        <v>60</v>
      </c>
      <c r="C57" s="48"/>
      <c r="D57" s="48"/>
      <c r="E57" s="48"/>
      <c r="F57" s="49"/>
    </row>
    <row r="58" spans="1:6" x14ac:dyDescent="0.25">
      <c r="A58" s="12">
        <v>6.01</v>
      </c>
      <c r="B58" s="67" t="s">
        <v>61</v>
      </c>
      <c r="C58" s="52" t="s">
        <v>0</v>
      </c>
      <c r="D58" s="52">
        <v>1</v>
      </c>
      <c r="E58" s="54">
        <v>2345000</v>
      </c>
      <c r="F58" s="54">
        <f>+E58*D58</f>
        <v>2345000</v>
      </c>
    </row>
    <row r="59" spans="1:6" x14ac:dyDescent="0.25">
      <c r="A59" s="64">
        <v>7</v>
      </c>
      <c r="B59" s="68" t="s">
        <v>62</v>
      </c>
      <c r="C59" s="69"/>
      <c r="D59" s="69"/>
      <c r="E59" s="69"/>
      <c r="F59" s="69"/>
    </row>
    <row r="60" spans="1:6" x14ac:dyDescent="0.25">
      <c r="A60" s="70">
        <v>7.01</v>
      </c>
      <c r="B60" s="71" t="s">
        <v>63</v>
      </c>
      <c r="C60" s="72" t="s">
        <v>9</v>
      </c>
      <c r="D60" s="72">
        <v>1</v>
      </c>
      <c r="E60" s="73">
        <v>1850000</v>
      </c>
      <c r="F60" s="74">
        <f>+E60*D60</f>
        <v>1850000</v>
      </c>
    </row>
    <row r="61" spans="1:6" ht="15.75" thickBot="1" x14ac:dyDescent="0.3">
      <c r="A61" s="75">
        <v>10</v>
      </c>
      <c r="B61" s="76" t="s">
        <v>64</v>
      </c>
      <c r="C61" s="77"/>
      <c r="D61" s="77"/>
      <c r="E61" s="77"/>
      <c r="F61" s="49"/>
    </row>
    <row r="62" spans="1:6" ht="15.75" thickBot="1" x14ac:dyDescent="0.3">
      <c r="A62" s="78">
        <v>10.01</v>
      </c>
      <c r="B62" s="79" t="s">
        <v>65</v>
      </c>
      <c r="C62" s="80" t="s">
        <v>3</v>
      </c>
      <c r="D62" s="81">
        <f>(11.07)*2.3</f>
        <v>25.460999999999999</v>
      </c>
      <c r="E62" s="11">
        <v>715000</v>
      </c>
      <c r="F62" s="82">
        <f>E62*D62</f>
        <v>18204615</v>
      </c>
    </row>
    <row r="63" spans="1:6" ht="15.75" thickBot="1" x14ac:dyDescent="0.3">
      <c r="A63" s="83">
        <v>10.02</v>
      </c>
      <c r="B63" s="79" t="s">
        <v>66</v>
      </c>
      <c r="C63" s="80" t="s">
        <v>0</v>
      </c>
      <c r="D63" s="81">
        <v>4</v>
      </c>
      <c r="E63" s="11">
        <v>2150000</v>
      </c>
      <c r="F63" s="82">
        <f>E63*D63</f>
        <v>8600000</v>
      </c>
    </row>
    <row r="64" spans="1:6" ht="15.75" thickBot="1" x14ac:dyDescent="0.3">
      <c r="A64" s="12">
        <v>11</v>
      </c>
      <c r="B64" s="47" t="s">
        <v>67</v>
      </c>
      <c r="C64" s="48"/>
      <c r="D64" s="48"/>
      <c r="E64" s="48"/>
      <c r="F64" s="48"/>
    </row>
    <row r="65" spans="1:6" ht="15.75" thickBot="1" x14ac:dyDescent="0.3">
      <c r="A65" s="84">
        <v>11.02</v>
      </c>
      <c r="B65" s="85" t="s">
        <v>68</v>
      </c>
      <c r="C65" s="86" t="s">
        <v>3</v>
      </c>
      <c r="D65" s="87">
        <v>25</v>
      </c>
      <c r="E65" s="88">
        <v>39000</v>
      </c>
      <c r="F65" s="88">
        <f t="shared" ref="F65:F70" si="4">E65*D65</f>
        <v>975000</v>
      </c>
    </row>
    <row r="66" spans="1:6" ht="15.75" thickBot="1" x14ac:dyDescent="0.3">
      <c r="A66" s="89">
        <v>11.03</v>
      </c>
      <c r="B66" s="90" t="s">
        <v>69</v>
      </c>
      <c r="C66" s="91" t="s">
        <v>3</v>
      </c>
      <c r="D66" s="87">
        <v>217</v>
      </c>
      <c r="E66" s="88">
        <v>16200</v>
      </c>
      <c r="F66" s="88">
        <f t="shared" si="4"/>
        <v>3515400</v>
      </c>
    </row>
    <row r="67" spans="1:6" ht="15.75" thickBot="1" x14ac:dyDescent="0.3">
      <c r="A67" s="84">
        <v>11.04</v>
      </c>
      <c r="B67" s="90" t="s">
        <v>69</v>
      </c>
      <c r="C67" s="91" t="s">
        <v>21</v>
      </c>
      <c r="D67" s="87">
        <v>45</v>
      </c>
      <c r="E67" s="88">
        <v>9720</v>
      </c>
      <c r="F67" s="88">
        <f t="shared" si="4"/>
        <v>437400</v>
      </c>
    </row>
    <row r="68" spans="1:6" ht="15.75" thickBot="1" x14ac:dyDescent="0.3">
      <c r="A68" s="89">
        <v>11.05</v>
      </c>
      <c r="B68" s="92" t="s">
        <v>70</v>
      </c>
      <c r="C68" s="93" t="s">
        <v>3</v>
      </c>
      <c r="D68" s="94">
        <v>138</v>
      </c>
      <c r="E68" s="88">
        <v>17900</v>
      </c>
      <c r="F68" s="88">
        <f t="shared" si="4"/>
        <v>2470200</v>
      </c>
    </row>
    <row r="69" spans="1:6" ht="15.75" thickBot="1" x14ac:dyDescent="0.3">
      <c r="A69" s="84">
        <v>11.06</v>
      </c>
      <c r="B69" s="92" t="s">
        <v>70</v>
      </c>
      <c r="C69" s="93" t="s">
        <v>21</v>
      </c>
      <c r="D69" s="94">
        <v>46</v>
      </c>
      <c r="E69" s="88">
        <f>E68*0.6</f>
        <v>10740</v>
      </c>
      <c r="F69" s="88">
        <f t="shared" si="4"/>
        <v>494040</v>
      </c>
    </row>
    <row r="70" spans="1:6" ht="15.75" thickBot="1" x14ac:dyDescent="0.3">
      <c r="A70" s="89">
        <v>11.07</v>
      </c>
      <c r="B70" s="95" t="s">
        <v>71</v>
      </c>
      <c r="C70" s="96" t="s">
        <v>3</v>
      </c>
      <c r="D70" s="97">
        <v>33.299999999999997</v>
      </c>
      <c r="E70" s="98">
        <v>14800</v>
      </c>
      <c r="F70" s="88">
        <f t="shared" si="4"/>
        <v>492839.99999999994</v>
      </c>
    </row>
    <row r="71" spans="1:6" x14ac:dyDescent="0.25">
      <c r="A71" s="100"/>
      <c r="B71" s="101"/>
      <c r="C71" s="102"/>
      <c r="D71" s="99"/>
      <c r="E71" s="103"/>
      <c r="F71" s="10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2026-06-04T01:06:52Z</dcterms:created>
  <dcterms:modified xsi:type="dcterms:W3CDTF">2026-06-05T03:08:25Z</dcterms:modified>
</cp:coreProperties>
</file>