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Dell\Downloads\Tesis\"/>
    </mc:Choice>
  </mc:AlternateContent>
  <xr:revisionPtr revIDLastSave="0" documentId="13_ncr:1_{BD77AB42-2EB9-42BD-98C8-1C88D4892C2A}" xr6:coauthVersionLast="47" xr6:coauthVersionMax="47" xr10:uidLastSave="{00000000-0000-0000-0000-000000000000}"/>
  <bookViews>
    <workbookView xWindow="-120" yWindow="-120" windowWidth="29040" windowHeight="15720" xr2:uid="{A3D96108-4E4B-4287-9416-91AFE7792198}"/>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00" i="1" l="1"/>
  <c r="F99" i="1"/>
  <c r="F98" i="1"/>
  <c r="F97" i="1"/>
  <c r="F96" i="1"/>
  <c r="F95" i="1"/>
  <c r="F93" i="1"/>
  <c r="F92" i="1"/>
  <c r="F91" i="1"/>
  <c r="F90" i="1"/>
  <c r="F89" i="1"/>
  <c r="F88" i="1"/>
  <c r="F87" i="1"/>
  <c r="F86" i="1"/>
  <c r="F85" i="1"/>
  <c r="F84" i="1"/>
  <c r="F83" i="1"/>
  <c r="F82" i="1"/>
  <c r="F80" i="1"/>
  <c r="F79" i="1"/>
  <c r="F78" i="1"/>
  <c r="F77" i="1"/>
  <c r="F76" i="1"/>
  <c r="F75" i="1"/>
  <c r="F74" i="1"/>
  <c r="F73" i="1"/>
  <c r="F72" i="1"/>
  <c r="F71" i="1"/>
  <c r="F70" i="1"/>
  <c r="F69" i="1"/>
  <c r="F68" i="1"/>
  <c r="F67" i="1"/>
  <c r="F66" i="1"/>
  <c r="F65" i="1"/>
  <c r="F64" i="1"/>
  <c r="F63" i="1"/>
  <c r="F61" i="1"/>
  <c r="D60" i="1"/>
  <c r="F59" i="1"/>
  <c r="F58" i="1"/>
  <c r="F57" i="1"/>
  <c r="F56" i="1"/>
  <c r="F54" i="1"/>
  <c r="F53" i="1"/>
  <c r="F52" i="1"/>
  <c r="F51" i="1"/>
  <c r="F50" i="1"/>
  <c r="F49" i="1"/>
  <c r="F48" i="1"/>
  <c r="F47" i="1"/>
  <c r="F46" i="1"/>
  <c r="F45" i="1"/>
  <c r="F44" i="1"/>
  <c r="F43" i="1"/>
  <c r="F42" i="1"/>
  <c r="F41" i="1"/>
  <c r="F40" i="1"/>
  <c r="F39" i="1"/>
  <c r="F38" i="1"/>
  <c r="F37" i="1"/>
  <c r="F36" i="1"/>
  <c r="F35" i="1"/>
  <c r="F34" i="1"/>
  <c r="D33" i="1"/>
  <c r="D32" i="1"/>
  <c r="F30" i="1"/>
  <c r="F29" i="1"/>
  <c r="F28" i="1"/>
  <c r="F27" i="1"/>
  <c r="D26" i="1"/>
  <c r="F25" i="1"/>
  <c r="D24" i="1"/>
  <c r="F23" i="1"/>
  <c r="F22" i="1"/>
  <c r="F20" i="1"/>
  <c r="F19" i="1"/>
  <c r="F18" i="1"/>
  <c r="F17" i="1"/>
  <c r="D16" i="1"/>
  <c r="F14" i="1"/>
  <c r="F13" i="1"/>
  <c r="F12" i="1"/>
  <c r="F11" i="1"/>
  <c r="F10" i="1"/>
  <c r="F9" i="1"/>
  <c r="F8" i="1"/>
  <c r="F6" i="1"/>
  <c r="F5" i="1"/>
  <c r="D4" i="1"/>
  <c r="F3" i="1"/>
  <c r="F7" i="1" l="1"/>
  <c r="F32" i="1"/>
  <c r="F26" i="1"/>
  <c r="F24" i="1"/>
  <c r="F21" i="1" s="1"/>
  <c r="F94" i="1"/>
  <c r="F60" i="1"/>
  <c r="F55" i="1" s="1"/>
  <c r="F16" i="1"/>
  <c r="F15" i="1" s="1"/>
  <c r="F4" i="1"/>
  <c r="F2" i="1" s="1"/>
  <c r="F81" i="1"/>
  <c r="F62" i="1"/>
  <c r="F33" i="1"/>
  <c r="F3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45C1C7B7-6DD1-4B76-9AB7-D401246B069C}">
      <text>
        <r>
          <rPr>
            <sz val="11"/>
            <color theme="1"/>
            <rFont val="Aptos Narrow"/>
            <family val="2"/>
            <scheme val="minor"/>
          </rPr>
          <t>======
ID#AAAA6spMLhw
Erik Durfay Ricaurte Castillo    (2023-09-25 20:41:48)
Unidad de medida del item a contratar</t>
        </r>
      </text>
    </comment>
  </commentList>
</comments>
</file>

<file path=xl/sharedStrings.xml><?xml version="1.0" encoding="utf-8"?>
<sst xmlns="http://schemas.openxmlformats.org/spreadsheetml/2006/main" count="192" uniqueCount="125">
  <si>
    <t xml:space="preserve">PRELIMINARES </t>
  </si>
  <si>
    <t>Localización y replanteo (Zona del local)</t>
  </si>
  <si>
    <t>m2</t>
  </si>
  <si>
    <t>Cerramiento provisional autoportante adherido con cinta doble fas en drywall H:3.40m con estructura cada 60cm (incluye puerta en medidas enviadas por planos, refuerzo de madera, bisagras, cadena, candado, material nuevo y desmonte al final de obra)</t>
  </si>
  <si>
    <t>Cubierta para cerramiento en poli sombra color negro (incluye estructura autoportante en techos, refuerzos en madera y anclajes para iluminación provisional)</t>
  </si>
  <si>
    <t>Montaje de tablero provisional de obra, incluye iluminación provisional y tablero de tomacorrientes (inicia acometida desde el punto destinado por opain, hasta el proyecto en cable LSZH-FRTC 7HCU PRC 2NG, dividido en 5 tramos y suministrado por Procafecol).</t>
  </si>
  <si>
    <t>gl</t>
  </si>
  <si>
    <t xml:space="preserve">ESTRUCTURA </t>
  </si>
  <si>
    <t>Anclaje Hierro , 5/8" - Perforación 3/4", 10-15 CM (Incluye epóxico y todos los elementos de instalacióin)</t>
  </si>
  <si>
    <t>UND</t>
  </si>
  <si>
    <t>Platina Lámina HR 3/8" 302x185 ASTM A-36 (Incluye soldadura y elementos de instalación)</t>
  </si>
  <si>
    <t>Acero Estructural ASTM  A-500 GR-C</t>
  </si>
  <si>
    <t>KLS</t>
  </si>
  <si>
    <t xml:space="preserve">Izaje de estructura metálica </t>
  </si>
  <si>
    <t>KG</t>
  </si>
  <si>
    <t xml:space="preserve">Móduo de Andamio H= 2000 M=1.4X3.0 Altura </t>
  </si>
  <si>
    <t>M/D</t>
  </si>
  <si>
    <t>ACARREO DE MATERIAL DE ESTRUCTURA METALICA HASTA 100M</t>
  </si>
  <si>
    <t>Cubierta en Malla expandida IMT Cold Rolled calibre 4,50 mm con pintura electrostática color blanco</t>
  </si>
  <si>
    <t>PISOS</t>
  </si>
  <si>
    <t>Estructura en acero para piso en perfil 10x5x3, con apoyos h=0,06m, platina y anclajes a piso. (incluye anti corrosivo, pintura electrostática color dorado estelar liso brillante, según especificaciones del wrap up y pases para iluminación)</t>
  </si>
  <si>
    <t>kl</t>
  </si>
  <si>
    <t>Zócalo (Poyo) Cobertura exterior de estructura metálica, borde de piso en lámina superboard 0,05m recubierto con lámina metálica Cal. 18 con pintura electrostática Ref. Dorado estelar (incluye estructura de montaje, refuerzos en madera, y tira de iluminación led en la parte inferior)</t>
  </si>
  <si>
    <t>ml</t>
  </si>
  <si>
    <t>Suministro e instalación de soportería para alfombra tejida en rombos trenzados, con lámina de superboard 0,05m apoyada con ángulos de acero directamente soldados a la estructura metálica del piso.</t>
  </si>
  <si>
    <t>Piso en vidrio templado laminado SGP de 20mm con película centinela transparente certificado con alta resistencia a compresión (incluye apoyos de goma en la estructura metálica y uniones con silicona de alto tráfico)</t>
  </si>
  <si>
    <t>Suministro e instalación de rampa metálica con antideslizante color dorado estelar</t>
  </si>
  <si>
    <t>MUROS</t>
  </si>
  <si>
    <t xml:space="preserve">Suministro e instalación de Muro ZONA DE PAGO AUTOSERVICIO en Superboard espesor hasta 0,07m. 1 cara con estructura cada 61 cm (24"), perfilería rolada calibre 26, acabado con tratamiento para juntas, Incluye cobertura en Corian Glacier White, Marco en superboard para arcos según planos, con  difusor interno para iluminación y marco reforzado para anclar acrílico para murales en café, Tapas, Filos y remates.(incluye sello hermético en el depósito para café pergamino, verde y tostado) </t>
  </si>
  <si>
    <t>Suministro e instalación de Muro POSTERIOR en Superboard espesor hasta 0,07m. 2 caras, con estructura cada 61 cm (24"), perfilería rolada calibre 26, lámina de fibrocemento de 1/2"; acabado Corian Glacier White y Chapilla Flor morado natural, con tratamiento para juntas, Incluye Tapas, Filos y remates.</t>
  </si>
  <si>
    <t>Suministro e instalación de Muros LATERALES en Superboard espesor hasta 0,07m. 2 caras, con estructura cada 61 cm (24"), perfilería rolada calibre 26, lámina de fibrocemento de 1/2"; acabado Corian Glacier White con tratamiento para juntas, Incluye Tapas, Filos y remates.</t>
  </si>
  <si>
    <t>Estructura metálica para recubrimiento de columna y organización de tubería emt en perfilería cuadrada de 5x5 (incluye anti corrosivo y modulación de estructura para instalación de pantallas, repisas de exhibición de artesanías e iluminación) realizar moldeado en estructura cóncava para tejido artesanal de columna en varilla corrugada 3/8''</t>
  </si>
  <si>
    <t xml:space="preserve">Cobertura para columna y estructura metálica en lámina de superboard 0,5 mm con pintura Sapolin 2015p Wax Yellow (incluye estructura interna y refuerzos en madera para instalación de pantallas). </t>
  </si>
  <si>
    <t xml:space="preserve">Plantillado de Columna (Plantillado con molde en madera para entender la circunferencia de la columna, ver imperfecciones para así poder instalar pantalla redonda. </t>
  </si>
  <si>
    <t xml:space="preserve">Suministro e instalación de tapas de fumigación en muros </t>
  </si>
  <si>
    <t>ud.</t>
  </si>
  <si>
    <t xml:space="preserve">Cobertura exterior de estructura metálica borde de cubierta en lámina de MDF 0,05cm, con pintura Poliuretano blanca. Incluye refuerzos y elementos en madera. </t>
  </si>
  <si>
    <t xml:space="preserve">Cobertura exterior para columnas metálicas de cubierta en lámina superboard 0,05cm, con pintura poliuretano blanca. Incluye elementos y refuerzos en madera. </t>
  </si>
  <si>
    <t>ENCHAPES Y ACABADOS</t>
  </si>
  <si>
    <t>Suministro e instalación sobre bordes y curvas en muros estructurales y cubierta, madera flor morado macizo, acabado en poliuretano poro cerrado.</t>
  </si>
  <si>
    <t xml:space="preserve">Suministro e instalación Guarda escoba metálico con pintura electrostática Ref. dorado estelar liso semi brillante </t>
  </si>
  <si>
    <t>BODEGA</t>
  </si>
  <si>
    <t>Suministro e instalación de paneles electrosoldadoscolor blanco</t>
  </si>
  <si>
    <t xml:space="preserve">Suministro e instalación de poste panel de 60mmx60mm cal.1.5mm pintado poliester blanco con platinas </t>
  </si>
  <si>
    <t>Un</t>
  </si>
  <si>
    <t xml:space="preserve">Suministro e instalación de abrazaderas bisagrapara postes de 60mm Marc REYCO </t>
  </si>
  <si>
    <t>Suministro e instalación de tornillos en acero inox. De 5/16 x 1 1/4" con tuerca</t>
  </si>
  <si>
    <t>Suministro e instalación de puerta panel 90cm , batiente mas chapa</t>
  </si>
  <si>
    <t>Suministro e instalación de pintura industrial TRAFICO para pisos , 3manos</t>
  </si>
  <si>
    <t>Pintura para muros en esmalte blanco lavable x 2 manos</t>
  </si>
  <si>
    <t>sellamiento de ductos y huecos en pared con poliuretano expansivo</t>
  </si>
  <si>
    <t xml:space="preserve">Desmonmte de lámparas hermeticas </t>
  </si>
  <si>
    <t>Suministro e instalación de lamparas tipo panel Led de 60x60</t>
  </si>
  <si>
    <t>Cambio de canaleta metálica por tuberia emt de 3/4" , incluye circuito cable #12</t>
  </si>
  <si>
    <t xml:space="preserve">Cambio de tomas electricas </t>
  </si>
  <si>
    <t>Retiro de zocalo y demolición en la base para incrustar media caña</t>
  </si>
  <si>
    <t>ML</t>
  </si>
  <si>
    <t>Suministro e instalación de media caña en resina , con terminación en pintura de tráfico</t>
  </si>
  <si>
    <t>Sellos hermeticos en tomas con silicona antihongos</t>
  </si>
  <si>
    <t>Reparación de puerta de acceso(mantenimiento)</t>
  </si>
  <si>
    <t>Cambio de gatos hidraullicos</t>
  </si>
  <si>
    <t xml:space="preserve">Cambio de cerradura </t>
  </si>
  <si>
    <t>UN</t>
  </si>
  <si>
    <t>Retiro de escombros y material sobrante</t>
  </si>
  <si>
    <t xml:space="preserve">Aseo y proteccion </t>
  </si>
  <si>
    <t>ESPECIALES</t>
  </si>
  <si>
    <t>Suministro e instalación de luminaria lineal L5 neoflex para sobre piso, temperatura 3000k luz cálida, embebida dentro de estructura según diseño, incluye todos los accesorios para su correcta instalación.</t>
  </si>
  <si>
    <t>Suministro e instalación de luminaria lineal L7 neoflex para arcos y demás elementos de la tienda, temperatura 3000k luz cálida, embebida dentro de estructura según diseño, incluye regleta led y difusor junto con todos los accesorios para su correcta instalación.</t>
  </si>
  <si>
    <t xml:space="preserve">Suministro e instalación de spot fijo L3, integrado a mamparas de cielorraso, luz led ref. según wrap up a 3000k , Luz Cálida, pintado en dorado champagne (incluye accesorios para instalación) </t>
  </si>
  <si>
    <t>un</t>
  </si>
  <si>
    <t>Instalación de Mamparas en tejido mimbre, incluye cable, bombillo y accesorios para su correcta instalación) mimbre o tejida suministrado por Juan Valdez</t>
  </si>
  <si>
    <t xml:space="preserve">Suministro e instalación de luminaria lineal neoflex para L4 LUMINIARIA LINEAL LED SOPORTE BANDERA embebida dentro del soporte, incluye todos los accesorios para su correcta instalación.  </t>
  </si>
  <si>
    <t xml:space="preserve">Suministro e instalación de L6 MINI DOWNLIGHT LED NICKEL de 3,5cm con temperatura 3000k luz cálida, Ref. Mini spot nickel de ILUMAX embebido dentro de estructura metálica del suelo con soportes color negro (incluye accesorios para su correcta instalación). </t>
  </si>
  <si>
    <t>ASEO Y ENTREGA</t>
  </si>
  <si>
    <t xml:space="preserve">Aseo de obra, una cuadrilla (2 personas) (se debe incluir soportes) - últimos 7 días de ejecución de obra (el resto de días bajo responsabilidad del personal en sitio se debe garantizar la limpieza de pasillos y zonas comunes del centro comercial y cumplir con normas de aseo </t>
  </si>
  <si>
    <t>día</t>
  </si>
  <si>
    <t>Trasiego de escombros horizontal o vertical hasta 50m</t>
  </si>
  <si>
    <t>viaj.</t>
  </si>
  <si>
    <t xml:space="preserve">Cargue de volqueta, y viaje de volqueta, DEBE INCLUIR CERTIFICADO de disposición final emitido por Interaseo </t>
  </si>
  <si>
    <t>EQUIPOS</t>
  </si>
  <si>
    <t xml:space="preserve">Alquiler de andamio certificado, se DEBE INCLUIR CERTIFICADO </t>
  </si>
  <si>
    <t>sem</t>
  </si>
  <si>
    <t>Alquiler de 1 UND de escalera certificada de 4 m de alto, se DEBE INCLUIR CERTIFICADO</t>
  </si>
  <si>
    <t xml:space="preserve">Alquiler de 1 UND de equipo Manlift solicitado para actividades en la cubierta del aeropuerto. </t>
  </si>
  <si>
    <t>REFUERZOS</t>
  </si>
  <si>
    <t xml:space="preserve">Refuerzo en tabla burra MRC10 PANTALLAS NICHO  mueble de mercadeo superior </t>
  </si>
  <si>
    <t xml:space="preserve">Suministro e instalación de refuerzos para MRC12 PANTALLA CIRCULAR COLUMNA CENTRAL en acero y madera, según medidas en planos arquitectónicos. </t>
  </si>
  <si>
    <t xml:space="preserve">Suministro e instalación de refuerzos para pantallas MRC11 de 45''en ME4 EXCIBICIÓN DE ACCESORIOS en acero y madera, según medidas en planos arquitectónicos. </t>
  </si>
  <si>
    <t>OTROS</t>
  </si>
  <si>
    <t xml:space="preserve">Planos récord </t>
  </si>
  <si>
    <t>Acompañamiento residente de obra</t>
  </si>
  <si>
    <t>día/noche</t>
  </si>
  <si>
    <t xml:space="preserve">Personal de SST para supervisión y desarrollo de documentos de seguridad y salúd en el trabajo </t>
  </si>
  <si>
    <t>Colaboración en trámites y documentación de carácter administrativo que solicite Opain inherente al proyecto</t>
  </si>
  <si>
    <t xml:space="preserve">Alquiler de manlift para tendido de acometidas en techo y trabajo en alturas </t>
  </si>
  <si>
    <t xml:space="preserve">dia </t>
  </si>
  <si>
    <t>Alquiler de Kit para trabajo en alturas</t>
  </si>
  <si>
    <t>dia/noche</t>
  </si>
  <si>
    <t>INSTALACIONES ELECTRICAS</t>
  </si>
  <si>
    <t>Salida para Iluminacion en Cielo para Alimentar Lamparas</t>
  </si>
  <si>
    <t>Salida para Lampara  en Muebles</t>
  </si>
  <si>
    <t>Salida para Iluminacion de Emergencia</t>
  </si>
  <si>
    <t xml:space="preserve">Salida para Interruptor Doble Linea DECORA Blanca marca LEVITON </t>
  </si>
  <si>
    <t xml:space="preserve">Salida para Interruptor Triple Linea DECORA Blanca marca LEVITON </t>
  </si>
  <si>
    <t>Salida Toma corriente Bifásica [Pantalla] (2F#12+1T#12)  Incluye Toma 3X20A Marca Codelca</t>
  </si>
  <si>
    <t>Salida para Toma Corriente Doble con Polo a Tierra 15A 125V Linea DECORA Blanca marca LEVITON con Tapa Metálica para ser instaladas en los congeladores, refrigeradores y cajas registradoras.</t>
  </si>
  <si>
    <t>Salida para Toma Corriente Doble con Polo a Tierra 15A 125V Color Naranja con Tapa; para ser instaladas en el Sistema Regulado sera la REF: 5262-IG LEVITON</t>
  </si>
  <si>
    <t>Salida Toma Corriente para alimentación y Salida UPS de tipo Monofásica, Incluye Toma L530-R y Clavija L530-P</t>
  </si>
  <si>
    <t>Suministro e instalación de Luminaria Led de Emergencia tipo aplique para uso interior, con diseño compacto basado en módulos led lineales REF: P26848 Sylvania, Potencia Led 4W, tensión de operación 120-277v con autonomía de 90 min.</t>
  </si>
  <si>
    <t>Tablero General Sistema Red Normal [TGN]. Tablero del Tipo Enchufable Trifásico de 18 circuitos SIN espacio para Totalizar. Con Tapa, Puerta y Chapa; marca certificada Sugerida LEGRAND REF: TWP-18BO / SCHNEIDER REF: NTQ-418-SQ / TERCOL TRP318G-BM</t>
  </si>
  <si>
    <t>Tablero monofásico para interruptores Riel DIN de 8 Circuitos; marca certificada Sugerida SCHNEIDER REF: ZA000611034 / CILES REF: 730302U / PROELECTRICOS REF: 3231E04051</t>
  </si>
  <si>
    <t xml:space="preserve">PROTECCIONES </t>
  </si>
  <si>
    <t>Breaker Industrial Fijo Termomagnetico de 3x30A 208V, 25kA, para Totalizador Tablero Eléctrico [TN]; Según Referencias REF: 027003 LEGRAND / REF: EZC100B3030 SCHNEIDER / 1SDA066513R1 ABB.</t>
  </si>
  <si>
    <t>Breaker Enchufable 3x30A 208V, 10kA (Ref: DSE-3030 si el Tablero es LEGRAND y Ref: HOM330 si el Tablero es SCHNEIDER y ITM330 Blanco si el Tablero es TERCOL )</t>
  </si>
  <si>
    <t>Breaker Enchufable 2x20A 208V, 10kA (Ref: DSE-2020 si el Tablero es LEGRAND y Ref: HOM220 si el Tablero es SCHNEIDER y ITM220 Blanco si el Tablero es TERCOL )</t>
  </si>
  <si>
    <t>Breaker Enchufable 1x30A 208V, 10kA (Ref: DSE-1030 si el Tablero es LEGRAND y Ref: HOM130 si el Tablero es SCHNEIDER y ITM130 Blanco si el Tablero es TERCOL )</t>
  </si>
  <si>
    <t>Breaker Enchufable 1x20A 208V, 10kA (Ref: DSE-1020 si el Tablero es LEGRAND y Ref: HOM120 si el Tablero es SCHNEIDER y ITM120 Blanco si el Tablero es TERCOL )</t>
  </si>
  <si>
    <t>Certificación RETIE de Instalaciones Eléctricas ante Organismo Acreditado por la ONAC</t>
  </si>
  <si>
    <t>GLB</t>
  </si>
  <si>
    <t>|0</t>
  </si>
  <si>
    <t>item</t>
  </si>
  <si>
    <t>descripcion</t>
  </si>
  <si>
    <t>cant</t>
  </si>
  <si>
    <t>valor_unitario</t>
  </si>
  <si>
    <t>valor_parcial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</si>
</sst>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 #,##0.00_-;\-&quot;$&quot;\ * #,##0.00_-;_-&quot;$&quot;\ * &quot;-&quot;??_-;_-@_-"/>
    <numFmt numFmtId="164" formatCode="d&quot; de &quot;mmm&quot; de &quot;yy"/>
    <numFmt numFmtId="165" formatCode="#,##0.0_ ;[Red]\-#,##0.0\ "/>
    <numFmt numFmtId="166" formatCode="_(* #,##0_);_(* \(#,##0\);_(* \-_);_(@_)"/>
    <numFmt numFmtId="167" formatCode="_-&quot;$&quot;\ * #,##0.00_-;\-&quot;$&quot;\ * #,##0.00_-;_-&quot;$&quot;\ * &quot;-&quot;??_-;_-@"/>
    <numFmt numFmtId="168" formatCode="0.0"/>
  </numFmts>
  <fonts count="11" x14ac:knownFonts="1">
    <font>
      <sz val="11"/>
      <color theme="1"/>
      <name val="Aptos Narrow"/>
      <family val="2"/>
      <scheme val="minor"/>
    </font>
    <font>
      <sz val="11"/>
      <color theme="1"/>
      <name val="Aptos Narrow"/>
      <family val="2"/>
      <scheme val="minor"/>
    </font>
    <font>
      <sz val="9"/>
      <color theme="1"/>
      <name val="Arial"/>
      <family val="2"/>
    </font>
    <font>
      <sz val="8"/>
      <color theme="1"/>
      <name val="Arial"/>
      <family val="2"/>
    </font>
    <font>
      <b/>
      <sz val="9"/>
      <color theme="1"/>
      <name val="Arial"/>
      <family val="2"/>
    </font>
    <font>
      <b/>
      <sz val="8"/>
      <color theme="1"/>
      <name val="Arial"/>
      <family val="2"/>
    </font>
    <font>
      <sz val="9"/>
      <color rgb="FF000000"/>
      <name val="Arial"/>
      <family val="2"/>
    </font>
    <font>
      <b/>
      <sz val="9"/>
      <color rgb="FF000000"/>
      <name val="Arial"/>
      <family val="2"/>
    </font>
    <font>
      <sz val="7"/>
      <color theme="1"/>
      <name val="Arial"/>
      <family val="2"/>
    </font>
    <font>
      <sz val="7"/>
      <color theme="1"/>
      <name val="Arimo"/>
    </font>
    <font>
      <b/>
      <sz val="10"/>
      <color theme="1"/>
      <name val="Arial"/>
      <family val="2"/>
    </font>
  </fonts>
  <fills count="5">
    <fill>
      <patternFill patternType="none"/>
    </fill>
    <fill>
      <patternFill patternType="gray125"/>
    </fill>
    <fill>
      <patternFill patternType="solid">
        <fgColor rgb="FFD8D8D8"/>
        <bgColor rgb="FFD8D8D8"/>
      </patternFill>
    </fill>
    <fill>
      <patternFill patternType="solid">
        <fgColor rgb="FFFF0000"/>
        <bgColor rgb="FFFF0000"/>
      </patternFill>
    </fill>
    <fill>
      <patternFill patternType="solid">
        <fgColor theme="0"/>
        <bgColor indexed="64"/>
      </patternFill>
    </fill>
  </fills>
  <borders count="4">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44" fontId="1" fillId="0" borderId="0" applyFont="0" applyFill="0" applyBorder="0" applyAlignment="0" applyProtection="0"/>
    <xf numFmtId="0" fontId="1" fillId="0" borderId="0"/>
  </cellStyleXfs>
  <cellXfs count="37">
    <xf numFmtId="0" fontId="0" fillId="0" borderId="0" xfId="0"/>
    <xf numFmtId="49" fontId="3" fillId="2" borderId="2" xfId="0" applyNumberFormat="1" applyFont="1" applyFill="1" applyBorder="1" applyAlignment="1">
      <alignment horizontal="center" vertical="center"/>
    </xf>
    <xf numFmtId="165" fontId="3" fillId="2" borderId="2" xfId="0" applyNumberFormat="1" applyFont="1" applyFill="1" applyBorder="1" applyAlignment="1">
      <alignment horizontal="center" vertical="center"/>
    </xf>
    <xf numFmtId="166" fontId="3" fillId="2" borderId="2" xfId="0" applyNumberFormat="1" applyFont="1" applyFill="1" applyBorder="1" applyAlignment="1">
      <alignment horizontal="center" vertical="center"/>
    </xf>
    <xf numFmtId="3" fontId="3" fillId="2" borderId="2" xfId="0" applyNumberFormat="1" applyFont="1" applyFill="1" applyBorder="1" applyAlignment="1">
      <alignment horizontal="center" vertical="center"/>
    </xf>
    <xf numFmtId="0" fontId="4" fillId="3" borderId="1" xfId="0" applyFont="1" applyFill="1" applyBorder="1" applyAlignment="1">
      <alignment horizontal="center" vertical="center"/>
    </xf>
    <xf numFmtId="0" fontId="4" fillId="3" borderId="2" xfId="0" applyFont="1" applyFill="1" applyBorder="1" applyAlignment="1">
      <alignment horizontal="left" vertical="center" wrapText="1"/>
    </xf>
    <xf numFmtId="49" fontId="5" fillId="3" borderId="2" xfId="0" applyNumberFormat="1" applyFont="1" applyFill="1" applyBorder="1" applyAlignment="1">
      <alignment horizontal="center" vertical="center"/>
    </xf>
    <xf numFmtId="165" fontId="5" fillId="3" borderId="2" xfId="0" applyNumberFormat="1" applyFont="1" applyFill="1" applyBorder="1" applyAlignment="1">
      <alignment horizontal="center" vertical="center"/>
    </xf>
    <xf numFmtId="167" fontId="5" fillId="3" borderId="2" xfId="0" applyNumberFormat="1" applyFont="1" applyFill="1" applyBorder="1" applyAlignment="1">
      <alignment horizontal="center" vertical="center"/>
    </xf>
    <xf numFmtId="167" fontId="5" fillId="3" borderId="2" xfId="0" applyNumberFormat="1" applyFont="1" applyFill="1" applyBorder="1" applyAlignment="1">
      <alignment horizontal="right" vertical="center"/>
    </xf>
    <xf numFmtId="0" fontId="6" fillId="0" borderId="1" xfId="0" applyFont="1" applyBorder="1" applyAlignment="1">
      <alignment horizontal="center" vertical="center" wrapText="1"/>
    </xf>
    <xf numFmtId="0" fontId="3" fillId="0" borderId="2" xfId="0" applyFont="1" applyBorder="1" applyAlignment="1">
      <alignment vertical="center" wrapText="1"/>
    </xf>
    <xf numFmtId="168" fontId="3" fillId="0" borderId="2" xfId="0" applyNumberFormat="1" applyFont="1" applyBorder="1" applyAlignment="1">
      <alignment horizontal="center" vertical="center"/>
    </xf>
    <xf numFmtId="165" fontId="3" fillId="0" borderId="2" xfId="0" applyNumberFormat="1" applyFont="1" applyBorder="1" applyAlignment="1">
      <alignment horizontal="center" vertical="center"/>
    </xf>
    <xf numFmtId="167" fontId="3" fillId="0" borderId="2" xfId="0" applyNumberFormat="1" applyFont="1" applyBorder="1" applyAlignment="1">
      <alignment vertical="center"/>
    </xf>
    <xf numFmtId="3" fontId="5" fillId="3" borderId="2" xfId="0" applyNumberFormat="1" applyFont="1" applyFill="1" applyBorder="1" applyAlignment="1">
      <alignment horizontal="center" vertical="center"/>
    </xf>
    <xf numFmtId="0" fontId="4" fillId="3" borderId="1" xfId="0" quotePrefix="1" applyFont="1" applyFill="1" applyBorder="1" applyAlignment="1">
      <alignment horizontal="center" vertical="center"/>
    </xf>
    <xf numFmtId="0" fontId="6" fillId="0" borderId="1" xfId="0" quotePrefix="1" applyFont="1" applyBorder="1" applyAlignment="1">
      <alignment horizontal="center" vertical="center" wrapText="1"/>
    </xf>
    <xf numFmtId="3" fontId="3" fillId="0" borderId="2" xfId="0" applyNumberFormat="1" applyFont="1" applyBorder="1" applyAlignment="1">
      <alignment horizontal="center" vertical="center"/>
    </xf>
    <xf numFmtId="3" fontId="3" fillId="4" borderId="2" xfId="0" applyNumberFormat="1" applyFont="1" applyFill="1" applyBorder="1" applyAlignment="1">
      <alignment horizontal="center" vertical="center"/>
    </xf>
    <xf numFmtId="4" fontId="3" fillId="4" borderId="2" xfId="0" applyNumberFormat="1" applyFont="1" applyFill="1" applyBorder="1" applyAlignment="1">
      <alignment horizontal="center" vertical="center"/>
    </xf>
    <xf numFmtId="0" fontId="2" fillId="4" borderId="1" xfId="0" quotePrefix="1"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1" xfId="0" quotePrefix="1" applyFont="1" applyFill="1" applyBorder="1" applyAlignment="1">
      <alignment horizontal="center" vertical="center" wrapText="1"/>
    </xf>
    <xf numFmtId="0" fontId="3" fillId="0" borderId="3" xfId="0" applyFont="1" applyBorder="1" applyAlignment="1">
      <alignment vertical="center" wrapText="1"/>
    </xf>
    <xf numFmtId="2" fontId="8" fillId="0" borderId="3" xfId="0" applyNumberFormat="1" applyFont="1" applyBorder="1" applyAlignment="1">
      <alignment horizontal="center" vertical="center"/>
    </xf>
    <xf numFmtId="167" fontId="9" fillId="0" borderId="3" xfId="0" applyNumberFormat="1" applyFont="1" applyBorder="1" applyAlignment="1">
      <alignment vertical="center"/>
    </xf>
    <xf numFmtId="3" fontId="3" fillId="3" borderId="2" xfId="0" applyNumberFormat="1" applyFont="1" applyFill="1" applyBorder="1" applyAlignment="1">
      <alignment horizontal="center" vertical="center"/>
    </xf>
    <xf numFmtId="165" fontId="3" fillId="3" borderId="2" xfId="0" applyNumberFormat="1" applyFont="1" applyFill="1" applyBorder="1" applyAlignment="1">
      <alignment horizontal="center" vertical="center"/>
    </xf>
    <xf numFmtId="0" fontId="4" fillId="3" borderId="1" xfId="2" quotePrefix="1" applyFont="1" applyFill="1" applyBorder="1" applyAlignment="1">
      <alignment horizontal="center" vertical="center"/>
    </xf>
    <xf numFmtId="0" fontId="4" fillId="3" borderId="2" xfId="2" applyFont="1" applyFill="1" applyBorder="1" applyAlignment="1">
      <alignment wrapText="1"/>
    </xf>
    <xf numFmtId="3" fontId="10" fillId="3" borderId="2" xfId="2" applyNumberFormat="1" applyFont="1" applyFill="1" applyBorder="1" applyAlignment="1">
      <alignment horizontal="center" vertical="center"/>
    </xf>
    <xf numFmtId="165" fontId="10" fillId="3" borderId="2" xfId="2" applyNumberFormat="1" applyFont="1" applyFill="1" applyBorder="1" applyAlignment="1">
      <alignment horizontal="center" vertical="center"/>
    </xf>
    <xf numFmtId="44" fontId="10" fillId="3" borderId="2" xfId="1" applyFont="1" applyFill="1" applyBorder="1" applyAlignment="1">
      <alignment horizontal="right" vertical="center"/>
    </xf>
    <xf numFmtId="164" fontId="3" fillId="2" borderId="2" xfId="0" applyNumberFormat="1" applyFont="1" applyFill="1" applyBorder="1" applyAlignment="1">
      <alignment vertical="center" wrapText="1"/>
    </xf>
    <xf numFmtId="49" fontId="3" fillId="2" borderId="1" xfId="0" applyNumberFormat="1" applyFont="1" applyFill="1" applyBorder="1" applyAlignment="1">
      <alignment vertical="center"/>
    </xf>
  </cellXfs>
  <cellStyles count="3">
    <cellStyle name="Moneda" xfId="1" builtinId="4"/>
    <cellStyle name="Normal" xfId="0" builtinId="0"/>
    <cellStyle name="Normal 2" xfId="2" xr:uid="{143F1BC1-7891-4EEC-8297-7DF6CD20F1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A7049-FF26-4594-9C8E-39A4764FB7E3}">
  <dimension ref="A1:F100"/>
  <sheetViews>
    <sheetView tabSelected="1" workbookViewId="0">
      <selection activeCell="K4" sqref="K4"/>
    </sheetView>
  </sheetViews>
  <sheetFormatPr baseColWidth="10" defaultRowHeight="15" x14ac:dyDescent="0.25"/>
  <sheetData>
    <row r="1" spans="1:6" x14ac:dyDescent="0.25">
      <c r="A1" s="36" t="s">
        <v>120</v>
      </c>
      <c r="B1" s="35" t="s">
        <v>121</v>
      </c>
      <c r="C1" s="1" t="s">
        <v>69</v>
      </c>
      <c r="D1" s="2" t="s">
        <v>122</v>
      </c>
      <c r="E1" s="3" t="s">
        <v>123</v>
      </c>
      <c r="F1" s="4" t="s">
        <v>124</v>
      </c>
    </row>
    <row r="2" spans="1:6" ht="24" x14ac:dyDescent="0.25">
      <c r="A2" s="5">
        <v>1</v>
      </c>
      <c r="B2" s="6" t="s">
        <v>0</v>
      </c>
      <c r="C2" s="7"/>
      <c r="D2" s="8"/>
      <c r="E2" s="9"/>
      <c r="F2" s="10">
        <f>SUM(F3:F6)</f>
        <v>20052663.600000001</v>
      </c>
    </row>
    <row r="3" spans="1:6" ht="45" x14ac:dyDescent="0.25">
      <c r="A3" s="11"/>
      <c r="B3" s="12" t="s">
        <v>1</v>
      </c>
      <c r="C3" s="13" t="s">
        <v>2</v>
      </c>
      <c r="D3" s="14">
        <v>34.15</v>
      </c>
      <c r="E3" s="15">
        <v>19800</v>
      </c>
      <c r="F3" s="15">
        <f>D3*E3</f>
        <v>676170</v>
      </c>
    </row>
    <row r="4" spans="1:6" ht="236.25" x14ac:dyDescent="0.25">
      <c r="A4" s="11"/>
      <c r="B4" s="12" t="s">
        <v>3</v>
      </c>
      <c r="C4" s="13" t="s">
        <v>2</v>
      </c>
      <c r="D4" s="14">
        <f>33.79*3.4</f>
        <v>114.886</v>
      </c>
      <c r="E4" s="15">
        <v>79600</v>
      </c>
      <c r="F4" s="15">
        <f t="shared" ref="F4:F6" si="0">D4*E4</f>
        <v>9144925.5999999996</v>
      </c>
    </row>
    <row r="5" spans="1:6" ht="146.25" x14ac:dyDescent="0.25">
      <c r="A5" s="11"/>
      <c r="B5" s="12" t="s">
        <v>4</v>
      </c>
      <c r="C5" s="13" t="s">
        <v>2</v>
      </c>
      <c r="D5" s="14">
        <v>55.24</v>
      </c>
      <c r="E5" s="15">
        <v>23200</v>
      </c>
      <c r="F5" s="15">
        <f t="shared" si="0"/>
        <v>1281568</v>
      </c>
    </row>
    <row r="6" spans="1:6" ht="247.5" x14ac:dyDescent="0.25">
      <c r="A6" s="11"/>
      <c r="B6" s="12" t="s">
        <v>5</v>
      </c>
      <c r="C6" s="13" t="s">
        <v>6</v>
      </c>
      <c r="D6" s="14">
        <v>1</v>
      </c>
      <c r="E6" s="15">
        <v>8950000</v>
      </c>
      <c r="F6" s="15">
        <f t="shared" si="0"/>
        <v>8950000</v>
      </c>
    </row>
    <row r="7" spans="1:6" ht="24" x14ac:dyDescent="0.25">
      <c r="A7" s="5">
        <v>2</v>
      </c>
      <c r="B7" s="6" t="s">
        <v>7</v>
      </c>
      <c r="C7" s="16"/>
      <c r="D7" s="8"/>
      <c r="E7" s="16"/>
      <c r="F7" s="10">
        <f>SUM(F8:F14)</f>
        <v>60509485.952000007</v>
      </c>
    </row>
    <row r="8" spans="1:6" ht="101.25" x14ac:dyDescent="0.25">
      <c r="A8" s="11"/>
      <c r="B8" s="12" t="s">
        <v>8</v>
      </c>
      <c r="C8" s="13" t="s">
        <v>9</v>
      </c>
      <c r="D8" s="14">
        <v>100</v>
      </c>
      <c r="E8" s="15">
        <v>27400</v>
      </c>
      <c r="F8" s="15">
        <f t="shared" ref="F8:F14" si="1">D8*E8</f>
        <v>2740000</v>
      </c>
    </row>
    <row r="9" spans="1:6" ht="90" x14ac:dyDescent="0.25">
      <c r="A9" s="11"/>
      <c r="B9" s="12" t="s">
        <v>10</v>
      </c>
      <c r="C9" s="13" t="s">
        <v>9</v>
      </c>
      <c r="D9" s="14">
        <v>6</v>
      </c>
      <c r="E9" s="15">
        <v>325000</v>
      </c>
      <c r="F9" s="15">
        <f t="shared" si="1"/>
        <v>1950000</v>
      </c>
    </row>
    <row r="10" spans="1:6" ht="45" x14ac:dyDescent="0.25">
      <c r="A10" s="11"/>
      <c r="B10" s="12" t="s">
        <v>11</v>
      </c>
      <c r="C10" s="13" t="s">
        <v>12</v>
      </c>
      <c r="D10" s="14">
        <v>1488.1985280000001</v>
      </c>
      <c r="E10" s="15">
        <v>24800</v>
      </c>
      <c r="F10" s="15">
        <f t="shared" si="1"/>
        <v>36907323.494400002</v>
      </c>
    </row>
    <row r="11" spans="1:6" ht="33.75" x14ac:dyDescent="0.25">
      <c r="A11" s="11"/>
      <c r="B11" s="12" t="s">
        <v>13</v>
      </c>
      <c r="C11" s="13" t="s">
        <v>14</v>
      </c>
      <c r="D11" s="14">
        <v>1488.1985280000001</v>
      </c>
      <c r="E11" s="15">
        <v>5400</v>
      </c>
      <c r="F11" s="15">
        <f t="shared" si="1"/>
        <v>8036272.0512000006</v>
      </c>
    </row>
    <row r="12" spans="1:6" ht="56.25" x14ac:dyDescent="0.25">
      <c r="A12" s="11"/>
      <c r="B12" s="12" t="s">
        <v>15</v>
      </c>
      <c r="C12" s="13" t="s">
        <v>16</v>
      </c>
      <c r="D12" s="14">
        <v>30</v>
      </c>
      <c r="E12" s="15">
        <v>34200</v>
      </c>
      <c r="F12" s="15">
        <f t="shared" si="1"/>
        <v>1026000</v>
      </c>
    </row>
    <row r="13" spans="1:6" ht="56.25" x14ac:dyDescent="0.25">
      <c r="A13" s="11"/>
      <c r="B13" s="12" t="s">
        <v>17</v>
      </c>
      <c r="C13" s="13" t="s">
        <v>14</v>
      </c>
      <c r="D13" s="14">
        <v>1488.1985280000001</v>
      </c>
      <c r="E13" s="15">
        <v>3800</v>
      </c>
      <c r="F13" s="15">
        <f t="shared" si="1"/>
        <v>5655154.4064000007</v>
      </c>
    </row>
    <row r="14" spans="1:6" ht="90" x14ac:dyDescent="0.25">
      <c r="A14" s="11"/>
      <c r="B14" s="12" t="s">
        <v>18</v>
      </c>
      <c r="C14" s="13" t="s">
        <v>2</v>
      </c>
      <c r="D14" s="14">
        <v>28.81</v>
      </c>
      <c r="E14" s="15">
        <v>145600</v>
      </c>
      <c r="F14" s="15">
        <f t="shared" si="1"/>
        <v>4194736</v>
      </c>
    </row>
    <row r="15" spans="1:6" x14ac:dyDescent="0.25">
      <c r="A15" s="17">
        <v>3</v>
      </c>
      <c r="B15" s="6" t="s">
        <v>19</v>
      </c>
      <c r="C15" s="16"/>
      <c r="D15" s="8"/>
      <c r="E15" s="16"/>
      <c r="F15" s="9">
        <f>SUM(F16:F20)</f>
        <v>74838698.439999998</v>
      </c>
    </row>
    <row r="16" spans="1:6" ht="213.75" x14ac:dyDescent="0.25">
      <c r="A16" s="18"/>
      <c r="B16" s="12" t="s">
        <v>20</v>
      </c>
      <c r="C16" s="19" t="s">
        <v>21</v>
      </c>
      <c r="D16" s="14">
        <f>((6.86*26.12)+(6.86*53.75)+(6.86*4))</f>
        <v>575.34820000000013</v>
      </c>
      <c r="E16" s="20">
        <v>24200</v>
      </c>
      <c r="F16" s="15">
        <f t="shared" ref="F16:F20" si="2">D16*E16</f>
        <v>13923426.440000003</v>
      </c>
    </row>
    <row r="17" spans="1:6" ht="270" x14ac:dyDescent="0.25">
      <c r="A17" s="18"/>
      <c r="B17" s="12" t="s">
        <v>22</v>
      </c>
      <c r="C17" s="19" t="s">
        <v>23</v>
      </c>
      <c r="D17" s="14">
        <v>26.12</v>
      </c>
      <c r="E17" s="20">
        <v>95800</v>
      </c>
      <c r="F17" s="15">
        <f t="shared" si="2"/>
        <v>2502296</v>
      </c>
    </row>
    <row r="18" spans="1:6" ht="202.5" x14ac:dyDescent="0.25">
      <c r="A18" s="18"/>
      <c r="B18" s="12" t="s">
        <v>24</v>
      </c>
      <c r="C18" s="19" t="s">
        <v>2</v>
      </c>
      <c r="D18" s="14">
        <v>28.8</v>
      </c>
      <c r="E18" s="20">
        <v>56000</v>
      </c>
      <c r="F18" s="15">
        <f t="shared" si="2"/>
        <v>1612800</v>
      </c>
    </row>
    <row r="19" spans="1:6" ht="202.5" x14ac:dyDescent="0.25">
      <c r="A19" s="18"/>
      <c r="B19" s="12" t="s">
        <v>25</v>
      </c>
      <c r="C19" s="19" t="s">
        <v>2</v>
      </c>
      <c r="D19" s="14">
        <v>28.8</v>
      </c>
      <c r="E19" s="20">
        <v>1942020</v>
      </c>
      <c r="F19" s="15">
        <f t="shared" si="2"/>
        <v>55930176</v>
      </c>
    </row>
    <row r="20" spans="1:6" ht="78.75" x14ac:dyDescent="0.25">
      <c r="A20" s="18"/>
      <c r="B20" s="12" t="s">
        <v>26</v>
      </c>
      <c r="C20" s="19" t="s">
        <v>23</v>
      </c>
      <c r="D20" s="14">
        <v>2</v>
      </c>
      <c r="E20" s="20">
        <v>435000</v>
      </c>
      <c r="F20" s="15">
        <f t="shared" si="2"/>
        <v>870000</v>
      </c>
    </row>
    <row r="21" spans="1:6" x14ac:dyDescent="0.25">
      <c r="A21" s="17">
        <v>4</v>
      </c>
      <c r="B21" s="6" t="s">
        <v>27</v>
      </c>
      <c r="C21" s="16"/>
      <c r="D21" s="8"/>
      <c r="E21" s="16"/>
      <c r="F21" s="9">
        <f>SUM(F22:F30)</f>
        <v>54352930</v>
      </c>
    </row>
    <row r="22" spans="1:6" ht="409.5" x14ac:dyDescent="0.25">
      <c r="A22" s="18"/>
      <c r="B22" s="12" t="s">
        <v>28</v>
      </c>
      <c r="C22" s="19" t="s">
        <v>2</v>
      </c>
      <c r="D22" s="14">
        <v>2.2999999999999998</v>
      </c>
      <c r="E22" s="20">
        <v>1685000</v>
      </c>
      <c r="F22" s="15">
        <f t="shared" ref="F22:F30" si="3">D22*E22</f>
        <v>3875499.9999999995</v>
      </c>
    </row>
    <row r="23" spans="1:6" ht="292.5" x14ac:dyDescent="0.25">
      <c r="A23" s="18"/>
      <c r="B23" s="12" t="s">
        <v>29</v>
      </c>
      <c r="C23" s="19" t="s">
        <v>2</v>
      </c>
      <c r="D23" s="14">
        <v>9.4</v>
      </c>
      <c r="E23" s="20">
        <v>1600750</v>
      </c>
      <c r="F23" s="15">
        <f t="shared" si="3"/>
        <v>15047050</v>
      </c>
    </row>
    <row r="24" spans="1:6" ht="258.75" x14ac:dyDescent="0.25">
      <c r="A24" s="18"/>
      <c r="B24" s="12" t="s">
        <v>30</v>
      </c>
      <c r="C24" s="19" t="s">
        <v>2</v>
      </c>
      <c r="D24" s="14">
        <f>2.5*2</f>
        <v>5</v>
      </c>
      <c r="E24" s="20">
        <v>1600750</v>
      </c>
      <c r="F24" s="15">
        <f t="shared" si="3"/>
        <v>8003750</v>
      </c>
    </row>
    <row r="25" spans="1:6" ht="303.75" x14ac:dyDescent="0.25">
      <c r="A25" s="18"/>
      <c r="B25" s="12" t="s">
        <v>31</v>
      </c>
      <c r="C25" s="19" t="s">
        <v>6</v>
      </c>
      <c r="D25" s="14">
        <v>1</v>
      </c>
      <c r="E25" s="21">
        <v>2150000</v>
      </c>
      <c r="F25" s="15">
        <f t="shared" si="3"/>
        <v>2150000</v>
      </c>
    </row>
    <row r="26" spans="1:6" ht="191.25" x14ac:dyDescent="0.25">
      <c r="A26" s="18"/>
      <c r="B26" s="12" t="s">
        <v>32</v>
      </c>
      <c r="C26" s="19" t="s">
        <v>2</v>
      </c>
      <c r="D26" s="14">
        <f>2.22*2.86</f>
        <v>6.3492000000000006</v>
      </c>
      <c r="E26" s="21">
        <v>475000</v>
      </c>
      <c r="F26" s="15">
        <f t="shared" si="3"/>
        <v>3015870.0000000005</v>
      </c>
    </row>
    <row r="27" spans="1:6" ht="157.5" x14ac:dyDescent="0.25">
      <c r="A27" s="18"/>
      <c r="B27" s="12" t="s">
        <v>33</v>
      </c>
      <c r="C27" s="19" t="s">
        <v>6</v>
      </c>
      <c r="D27" s="14">
        <v>1</v>
      </c>
      <c r="E27" s="20">
        <v>280000</v>
      </c>
      <c r="F27" s="15">
        <f t="shared" si="3"/>
        <v>280000</v>
      </c>
    </row>
    <row r="28" spans="1:6" ht="56.25" x14ac:dyDescent="0.25">
      <c r="A28" s="18"/>
      <c r="B28" s="12" t="s">
        <v>34</v>
      </c>
      <c r="C28" s="19" t="s">
        <v>35</v>
      </c>
      <c r="D28" s="14">
        <v>5</v>
      </c>
      <c r="E28" s="20">
        <v>55800</v>
      </c>
      <c r="F28" s="15">
        <f t="shared" si="3"/>
        <v>279000</v>
      </c>
    </row>
    <row r="29" spans="1:6" ht="146.25" x14ac:dyDescent="0.25">
      <c r="A29" s="18"/>
      <c r="B29" s="12" t="s">
        <v>36</v>
      </c>
      <c r="C29" s="19" t="s">
        <v>2</v>
      </c>
      <c r="D29" s="14">
        <v>36.04</v>
      </c>
      <c r="E29" s="20">
        <v>444000</v>
      </c>
      <c r="F29" s="15">
        <f t="shared" si="3"/>
        <v>16001760</v>
      </c>
    </row>
    <row r="30" spans="1:6" ht="157.5" x14ac:dyDescent="0.25">
      <c r="A30" s="18"/>
      <c r="B30" s="12" t="s">
        <v>37</v>
      </c>
      <c r="C30" s="19" t="s">
        <v>2</v>
      </c>
      <c r="D30" s="14">
        <v>20</v>
      </c>
      <c r="E30" s="20">
        <v>285000</v>
      </c>
      <c r="F30" s="15">
        <f t="shared" si="3"/>
        <v>5700000</v>
      </c>
    </row>
    <row r="31" spans="1:6" ht="24" x14ac:dyDescent="0.25">
      <c r="A31" s="5">
        <v>5</v>
      </c>
      <c r="B31" s="6" t="s">
        <v>38</v>
      </c>
      <c r="C31" s="16"/>
      <c r="D31" s="8"/>
      <c r="E31" s="16"/>
      <c r="F31" s="10">
        <f>SUM(F32:F33)</f>
        <v>7270242.0000000009</v>
      </c>
    </row>
    <row r="32" spans="1:6" ht="146.25" x14ac:dyDescent="0.25">
      <c r="A32" s="18"/>
      <c r="B32" s="12" t="s">
        <v>39</v>
      </c>
      <c r="C32" s="19" t="s">
        <v>23</v>
      </c>
      <c r="D32" s="14">
        <f>((3.43*4)+5.4+15.5)</f>
        <v>34.620000000000005</v>
      </c>
      <c r="E32" s="19">
        <v>145000</v>
      </c>
      <c r="F32" s="15">
        <f t="shared" ref="F32:F33" si="4">D32*E32</f>
        <v>5019900.0000000009</v>
      </c>
    </row>
    <row r="33" spans="1:6" ht="112.5" x14ac:dyDescent="0.25">
      <c r="A33" s="18"/>
      <c r="B33" s="12" t="s">
        <v>40</v>
      </c>
      <c r="C33" s="19" t="s">
        <v>23</v>
      </c>
      <c r="D33" s="14">
        <f>15.77+2.36+2.36+3</f>
        <v>23.49</v>
      </c>
      <c r="E33" s="19">
        <v>95800</v>
      </c>
      <c r="F33" s="15">
        <f t="shared" si="4"/>
        <v>2250342</v>
      </c>
    </row>
    <row r="34" spans="1:6" x14ac:dyDescent="0.25">
      <c r="A34" s="5">
        <v>6</v>
      </c>
      <c r="B34" s="6" t="s">
        <v>41</v>
      </c>
      <c r="C34" s="16"/>
      <c r="D34" s="8"/>
      <c r="E34" s="16"/>
      <c r="F34" s="10">
        <f>SUM(F35:F54)</f>
        <v>42056950</v>
      </c>
    </row>
    <row r="35" spans="1:6" ht="56.25" x14ac:dyDescent="0.25">
      <c r="A35" s="22"/>
      <c r="B35" s="12" t="s">
        <v>42</v>
      </c>
      <c r="C35" s="13" t="s">
        <v>2</v>
      </c>
      <c r="D35" s="14">
        <v>37</v>
      </c>
      <c r="E35" s="19">
        <v>65800</v>
      </c>
      <c r="F35" s="15">
        <f t="shared" ref="F35:F54" si="5">D35*E35</f>
        <v>2434600</v>
      </c>
    </row>
    <row r="36" spans="1:6" ht="101.25" x14ac:dyDescent="0.25">
      <c r="A36" s="22"/>
      <c r="B36" s="12" t="s">
        <v>43</v>
      </c>
      <c r="C36" s="13" t="s">
        <v>44</v>
      </c>
      <c r="D36" s="14">
        <v>10</v>
      </c>
      <c r="E36" s="19">
        <v>185900</v>
      </c>
      <c r="F36" s="15">
        <f t="shared" si="5"/>
        <v>1859000</v>
      </c>
    </row>
    <row r="37" spans="1:6" ht="78.75" x14ac:dyDescent="0.25">
      <c r="A37" s="22"/>
      <c r="B37" s="12" t="s">
        <v>45</v>
      </c>
      <c r="C37" s="13" t="s">
        <v>44</v>
      </c>
      <c r="D37" s="14">
        <v>50</v>
      </c>
      <c r="E37" s="19">
        <v>45800</v>
      </c>
      <c r="F37" s="15">
        <f t="shared" si="5"/>
        <v>2290000</v>
      </c>
    </row>
    <row r="38" spans="1:6" ht="67.5" x14ac:dyDescent="0.25">
      <c r="A38" s="22"/>
      <c r="B38" s="12" t="s">
        <v>46</v>
      </c>
      <c r="C38" s="13" t="s">
        <v>44</v>
      </c>
      <c r="D38" s="14">
        <v>50</v>
      </c>
      <c r="E38" s="19">
        <v>4800</v>
      </c>
      <c r="F38" s="15">
        <f t="shared" si="5"/>
        <v>240000</v>
      </c>
    </row>
    <row r="39" spans="1:6" ht="56.25" x14ac:dyDescent="0.25">
      <c r="A39" s="22"/>
      <c r="B39" s="12" t="s">
        <v>47</v>
      </c>
      <c r="C39" s="13" t="s">
        <v>44</v>
      </c>
      <c r="D39" s="14">
        <v>3</v>
      </c>
      <c r="E39" s="19">
        <v>2720000</v>
      </c>
      <c r="F39" s="15">
        <f t="shared" si="5"/>
        <v>8160000</v>
      </c>
    </row>
    <row r="40" spans="1:6" ht="67.5" x14ac:dyDescent="0.25">
      <c r="A40" s="22"/>
      <c r="B40" s="12" t="s">
        <v>48</v>
      </c>
      <c r="C40" s="13" t="s">
        <v>2</v>
      </c>
      <c r="D40" s="14">
        <v>71.7</v>
      </c>
      <c r="E40" s="19">
        <v>120000</v>
      </c>
      <c r="F40" s="15">
        <f t="shared" si="5"/>
        <v>8604000</v>
      </c>
    </row>
    <row r="41" spans="1:6" ht="56.25" x14ac:dyDescent="0.25">
      <c r="A41" s="22"/>
      <c r="B41" s="12" t="s">
        <v>49</v>
      </c>
      <c r="C41" s="13" t="s">
        <v>2</v>
      </c>
      <c r="D41" s="14">
        <v>192</v>
      </c>
      <c r="E41" s="19">
        <v>16800</v>
      </c>
      <c r="F41" s="15">
        <f t="shared" si="5"/>
        <v>3225600</v>
      </c>
    </row>
    <row r="42" spans="1:6" ht="67.5" x14ac:dyDescent="0.25">
      <c r="A42" s="22"/>
      <c r="B42" s="12" t="s">
        <v>50</v>
      </c>
      <c r="C42" s="13" t="s">
        <v>2</v>
      </c>
      <c r="D42" s="14">
        <v>16.3</v>
      </c>
      <c r="E42" s="19">
        <v>23400</v>
      </c>
      <c r="F42" s="15">
        <f t="shared" si="5"/>
        <v>381420</v>
      </c>
    </row>
    <row r="43" spans="1:6" ht="33.75" x14ac:dyDescent="0.25">
      <c r="A43" s="22"/>
      <c r="B43" s="12" t="s">
        <v>51</v>
      </c>
      <c r="C43" s="13" t="s">
        <v>44</v>
      </c>
      <c r="D43" s="14">
        <v>12</v>
      </c>
      <c r="E43" s="19">
        <v>13500</v>
      </c>
      <c r="F43" s="15">
        <f t="shared" si="5"/>
        <v>162000</v>
      </c>
    </row>
    <row r="44" spans="1:6" ht="56.25" x14ac:dyDescent="0.25">
      <c r="A44" s="22"/>
      <c r="B44" s="12" t="s">
        <v>52</v>
      </c>
      <c r="C44" s="13" t="s">
        <v>44</v>
      </c>
      <c r="D44" s="14">
        <v>12</v>
      </c>
      <c r="E44" s="19">
        <v>325000</v>
      </c>
      <c r="F44" s="15">
        <f t="shared" si="5"/>
        <v>3900000</v>
      </c>
    </row>
    <row r="45" spans="1:6" ht="78.75" x14ac:dyDescent="0.25">
      <c r="A45" s="22"/>
      <c r="B45" s="12" t="s">
        <v>53</v>
      </c>
      <c r="C45" s="13" t="s">
        <v>23</v>
      </c>
      <c r="D45" s="14">
        <v>19</v>
      </c>
      <c r="E45" s="19">
        <v>38400</v>
      </c>
      <c r="F45" s="15">
        <f t="shared" si="5"/>
        <v>729600</v>
      </c>
    </row>
    <row r="46" spans="1:6" ht="33.75" x14ac:dyDescent="0.25">
      <c r="A46" s="22"/>
      <c r="B46" s="12" t="s">
        <v>54</v>
      </c>
      <c r="C46" s="13" t="s">
        <v>44</v>
      </c>
      <c r="D46" s="14">
        <v>6</v>
      </c>
      <c r="E46" s="19">
        <v>22400</v>
      </c>
      <c r="F46" s="15">
        <f t="shared" si="5"/>
        <v>134400</v>
      </c>
    </row>
    <row r="47" spans="1:6" ht="67.5" x14ac:dyDescent="0.25">
      <c r="A47" s="22"/>
      <c r="B47" s="12" t="s">
        <v>55</v>
      </c>
      <c r="C47" s="13" t="s">
        <v>56</v>
      </c>
      <c r="D47" s="14">
        <v>43</v>
      </c>
      <c r="E47" s="19">
        <v>9500</v>
      </c>
      <c r="F47" s="15">
        <f t="shared" si="5"/>
        <v>408500</v>
      </c>
    </row>
    <row r="48" spans="1:6" ht="78.75" x14ac:dyDescent="0.25">
      <c r="A48" s="22"/>
      <c r="B48" s="12" t="s">
        <v>57</v>
      </c>
      <c r="C48" s="13" t="s">
        <v>56</v>
      </c>
      <c r="D48" s="14">
        <v>43</v>
      </c>
      <c r="E48" s="19">
        <v>68900</v>
      </c>
      <c r="F48" s="15">
        <f t="shared" si="5"/>
        <v>2962700</v>
      </c>
    </row>
    <row r="49" spans="1:6" ht="56.25" x14ac:dyDescent="0.25">
      <c r="A49" s="22"/>
      <c r="B49" s="12" t="s">
        <v>58</v>
      </c>
      <c r="C49" s="13" t="s">
        <v>44</v>
      </c>
      <c r="D49" s="14">
        <v>20</v>
      </c>
      <c r="E49" s="19">
        <v>6500</v>
      </c>
      <c r="F49" s="15">
        <f t="shared" si="5"/>
        <v>130000</v>
      </c>
    </row>
    <row r="50" spans="1:6" ht="45" x14ac:dyDescent="0.25">
      <c r="A50" s="22"/>
      <c r="B50" s="12" t="s">
        <v>59</v>
      </c>
      <c r="C50" s="13" t="s">
        <v>44</v>
      </c>
      <c r="D50" s="14">
        <v>1</v>
      </c>
      <c r="E50" s="19">
        <v>980000</v>
      </c>
      <c r="F50" s="15">
        <f t="shared" si="5"/>
        <v>980000</v>
      </c>
    </row>
    <row r="51" spans="1:6" ht="33.75" x14ac:dyDescent="0.25">
      <c r="A51" s="22"/>
      <c r="B51" s="12" t="s">
        <v>60</v>
      </c>
      <c r="C51" s="13" t="s">
        <v>44</v>
      </c>
      <c r="D51" s="14">
        <v>2</v>
      </c>
      <c r="E51" s="19">
        <v>1450000</v>
      </c>
      <c r="F51" s="15">
        <f t="shared" si="5"/>
        <v>2900000</v>
      </c>
    </row>
    <row r="52" spans="1:6" ht="22.5" x14ac:dyDescent="0.25">
      <c r="A52" s="22"/>
      <c r="B52" s="12" t="s">
        <v>61</v>
      </c>
      <c r="C52" s="13" t="s">
        <v>62</v>
      </c>
      <c r="D52" s="14">
        <v>1</v>
      </c>
      <c r="E52" s="19">
        <v>550000</v>
      </c>
      <c r="F52" s="15">
        <f t="shared" si="5"/>
        <v>550000</v>
      </c>
    </row>
    <row r="53" spans="1:6" ht="45" x14ac:dyDescent="0.25">
      <c r="A53" s="22"/>
      <c r="B53" s="12" t="s">
        <v>63</v>
      </c>
      <c r="C53" s="13" t="s">
        <v>44</v>
      </c>
      <c r="D53" s="14">
        <v>1</v>
      </c>
      <c r="E53" s="19">
        <v>650000</v>
      </c>
      <c r="F53" s="15">
        <f t="shared" si="5"/>
        <v>650000</v>
      </c>
    </row>
    <row r="54" spans="1:6" ht="22.5" x14ac:dyDescent="0.25">
      <c r="A54" s="22"/>
      <c r="B54" s="12" t="s">
        <v>64</v>
      </c>
      <c r="C54" s="13" t="s">
        <v>2</v>
      </c>
      <c r="D54" s="14">
        <v>71.7</v>
      </c>
      <c r="E54" s="19">
        <v>18900</v>
      </c>
      <c r="F54" s="15">
        <f t="shared" si="5"/>
        <v>1355130</v>
      </c>
    </row>
    <row r="55" spans="1:6" x14ac:dyDescent="0.25">
      <c r="A55" s="17">
        <v>7</v>
      </c>
      <c r="B55" s="6" t="s">
        <v>65</v>
      </c>
      <c r="C55" s="16"/>
      <c r="D55" s="8"/>
      <c r="E55" s="16"/>
      <c r="F55" s="9">
        <f>SUM(F56:F61)</f>
        <v>18177930</v>
      </c>
    </row>
    <row r="56" spans="1:6" ht="202.5" x14ac:dyDescent="0.25">
      <c r="A56" s="18"/>
      <c r="B56" s="12" t="s">
        <v>66</v>
      </c>
      <c r="C56" s="19" t="s">
        <v>23</v>
      </c>
      <c r="D56" s="14">
        <v>29</v>
      </c>
      <c r="E56" s="19">
        <v>21300</v>
      </c>
      <c r="F56" s="15">
        <f t="shared" ref="F56:F61" si="6">D56*E56</f>
        <v>617700</v>
      </c>
    </row>
    <row r="57" spans="1:6" ht="258.75" x14ac:dyDescent="0.25">
      <c r="A57" s="18"/>
      <c r="B57" s="12" t="s">
        <v>67</v>
      </c>
      <c r="C57" s="19" t="s">
        <v>23</v>
      </c>
      <c r="D57" s="14">
        <v>90</v>
      </c>
      <c r="E57" s="19">
        <v>21300</v>
      </c>
      <c r="F57" s="15">
        <f t="shared" si="6"/>
        <v>1917000</v>
      </c>
    </row>
    <row r="58" spans="1:6" ht="180" x14ac:dyDescent="0.25">
      <c r="A58" s="18"/>
      <c r="B58" s="12" t="s">
        <v>68</v>
      </c>
      <c r="C58" s="19" t="s">
        <v>69</v>
      </c>
      <c r="D58" s="14">
        <v>17</v>
      </c>
      <c r="E58" s="19">
        <v>485000</v>
      </c>
      <c r="F58" s="15">
        <f t="shared" si="6"/>
        <v>8245000</v>
      </c>
    </row>
    <row r="59" spans="1:6" ht="146.25" x14ac:dyDescent="0.25">
      <c r="A59" s="18"/>
      <c r="B59" s="12" t="s">
        <v>70</v>
      </c>
      <c r="C59" s="19" t="s">
        <v>69</v>
      </c>
      <c r="D59" s="14">
        <v>17</v>
      </c>
      <c r="E59" s="19">
        <v>95800</v>
      </c>
      <c r="F59" s="15">
        <f t="shared" si="6"/>
        <v>1628600</v>
      </c>
    </row>
    <row r="60" spans="1:6" ht="180" x14ac:dyDescent="0.25">
      <c r="A60" s="18"/>
      <c r="B60" s="12" t="s">
        <v>71</v>
      </c>
      <c r="C60" s="19" t="s">
        <v>23</v>
      </c>
      <c r="D60" s="14">
        <f>1.5*3</f>
        <v>4.5</v>
      </c>
      <c r="E60" s="19">
        <v>21300</v>
      </c>
      <c r="F60" s="15">
        <f t="shared" si="6"/>
        <v>95850</v>
      </c>
    </row>
    <row r="61" spans="1:6" ht="247.5" x14ac:dyDescent="0.25">
      <c r="A61" s="18"/>
      <c r="B61" s="12" t="s">
        <v>72</v>
      </c>
      <c r="C61" s="19" t="s">
        <v>69</v>
      </c>
      <c r="D61" s="14">
        <v>266</v>
      </c>
      <c r="E61" s="19">
        <v>21330</v>
      </c>
      <c r="F61" s="15">
        <f t="shared" si="6"/>
        <v>5673780</v>
      </c>
    </row>
    <row r="62" spans="1:6" ht="24" x14ac:dyDescent="0.25">
      <c r="A62" s="23">
        <v>8</v>
      </c>
      <c r="B62" s="6" t="s">
        <v>73</v>
      </c>
      <c r="C62" s="16"/>
      <c r="D62" s="8"/>
      <c r="E62" s="16"/>
      <c r="F62" s="9">
        <f>SUM(F63:F65)</f>
        <v>2815000</v>
      </c>
    </row>
    <row r="63" spans="1:6" ht="281.25" x14ac:dyDescent="0.25">
      <c r="A63" s="11"/>
      <c r="B63" s="12" t="s">
        <v>74</v>
      </c>
      <c r="C63" s="13" t="s">
        <v>75</v>
      </c>
      <c r="D63" s="14">
        <v>5</v>
      </c>
      <c r="E63" s="19">
        <v>175000</v>
      </c>
      <c r="F63" s="15">
        <f t="shared" ref="F63:F65" si="7">D63*E63</f>
        <v>875000</v>
      </c>
    </row>
    <row r="64" spans="1:6" ht="56.25" x14ac:dyDescent="0.25">
      <c r="A64" s="11"/>
      <c r="B64" s="12" t="s">
        <v>76</v>
      </c>
      <c r="C64" s="19" t="s">
        <v>77</v>
      </c>
      <c r="D64" s="14">
        <v>4</v>
      </c>
      <c r="E64" s="19">
        <v>125000</v>
      </c>
      <c r="F64" s="15">
        <f t="shared" si="7"/>
        <v>500000</v>
      </c>
    </row>
    <row r="65" spans="1:6" ht="101.25" x14ac:dyDescent="0.25">
      <c r="A65" s="11"/>
      <c r="B65" s="12" t="s">
        <v>78</v>
      </c>
      <c r="C65" s="19" t="s">
        <v>77</v>
      </c>
      <c r="D65" s="14">
        <v>2</v>
      </c>
      <c r="E65" s="19">
        <v>720000</v>
      </c>
      <c r="F65" s="15">
        <f t="shared" si="7"/>
        <v>1440000</v>
      </c>
    </row>
    <row r="66" spans="1:6" x14ac:dyDescent="0.25">
      <c r="A66" s="24">
        <v>9</v>
      </c>
      <c r="B66" s="6" t="s">
        <v>79</v>
      </c>
      <c r="C66" s="16"/>
      <c r="D66" s="8"/>
      <c r="E66" s="16"/>
      <c r="F66" s="9">
        <f>SUM(F67:F69)</f>
        <v>6248000</v>
      </c>
    </row>
    <row r="67" spans="1:6" ht="56.25" x14ac:dyDescent="0.25">
      <c r="A67" s="11"/>
      <c r="B67" s="12" t="s">
        <v>80</v>
      </c>
      <c r="C67" s="19" t="s">
        <v>81</v>
      </c>
      <c r="D67" s="14">
        <v>3</v>
      </c>
      <c r="E67" s="19">
        <v>456000</v>
      </c>
      <c r="F67" s="15">
        <f t="shared" ref="F67:F69" si="8">D67*E67</f>
        <v>1368000</v>
      </c>
    </row>
    <row r="68" spans="1:6" ht="78.75" x14ac:dyDescent="0.25">
      <c r="A68" s="11"/>
      <c r="B68" s="12" t="s">
        <v>82</v>
      </c>
      <c r="C68" s="19" t="s">
        <v>81</v>
      </c>
      <c r="D68" s="14">
        <v>4</v>
      </c>
      <c r="E68" s="19">
        <v>175000</v>
      </c>
      <c r="F68" s="15">
        <f t="shared" si="8"/>
        <v>700000</v>
      </c>
    </row>
    <row r="69" spans="1:6" ht="78.75" x14ac:dyDescent="0.25">
      <c r="A69" s="11"/>
      <c r="B69" s="12" t="s">
        <v>83</v>
      </c>
      <c r="C69" s="19" t="s">
        <v>81</v>
      </c>
      <c r="D69" s="14">
        <v>4</v>
      </c>
      <c r="E69" s="19">
        <v>1045000</v>
      </c>
      <c r="F69" s="15">
        <f t="shared" si="8"/>
        <v>4180000</v>
      </c>
    </row>
    <row r="70" spans="1:6" x14ac:dyDescent="0.25">
      <c r="A70" s="24" t="s">
        <v>119</v>
      </c>
      <c r="B70" s="6" t="s">
        <v>84</v>
      </c>
      <c r="C70" s="16"/>
      <c r="D70" s="8"/>
      <c r="E70" s="16"/>
      <c r="F70" s="9">
        <f>SUM(F71:F73)</f>
        <v>1023800</v>
      </c>
    </row>
    <row r="71" spans="1:6" ht="78.75" x14ac:dyDescent="0.25">
      <c r="A71" s="11"/>
      <c r="B71" s="12" t="s">
        <v>85</v>
      </c>
      <c r="C71" s="19" t="s">
        <v>23</v>
      </c>
      <c r="D71" s="14">
        <v>8</v>
      </c>
      <c r="E71" s="19">
        <v>52400</v>
      </c>
      <c r="F71" s="15">
        <f>D71*E71</f>
        <v>419200</v>
      </c>
    </row>
    <row r="72" spans="1:6" ht="157.5" x14ac:dyDescent="0.25">
      <c r="A72" s="11"/>
      <c r="B72" s="25" t="s">
        <v>86</v>
      </c>
      <c r="C72" s="19" t="s">
        <v>23</v>
      </c>
      <c r="D72" s="26">
        <v>3</v>
      </c>
      <c r="E72" s="19">
        <v>123000</v>
      </c>
      <c r="F72" s="27">
        <f t="shared" ref="F72:F73" si="9">D72*E72</f>
        <v>369000</v>
      </c>
    </row>
    <row r="73" spans="1:6" ht="157.5" x14ac:dyDescent="0.25">
      <c r="A73" s="11"/>
      <c r="B73" s="25" t="s">
        <v>87</v>
      </c>
      <c r="C73" s="19" t="s">
        <v>23</v>
      </c>
      <c r="D73" s="26">
        <v>4</v>
      </c>
      <c r="E73" s="19">
        <v>58900</v>
      </c>
      <c r="F73" s="27">
        <f t="shared" si="9"/>
        <v>235600</v>
      </c>
    </row>
    <row r="74" spans="1:6" x14ac:dyDescent="0.25">
      <c r="A74" s="24">
        <v>11</v>
      </c>
      <c r="B74" s="6" t="s">
        <v>88</v>
      </c>
      <c r="C74" s="28"/>
      <c r="D74" s="29"/>
      <c r="E74" s="28"/>
      <c r="F74" s="9">
        <f>SUM(F75:F80)</f>
        <v>14417000</v>
      </c>
    </row>
    <row r="75" spans="1:6" x14ac:dyDescent="0.25">
      <c r="A75" s="11"/>
      <c r="B75" s="12" t="s">
        <v>89</v>
      </c>
      <c r="C75" s="19" t="s">
        <v>6</v>
      </c>
      <c r="D75" s="14">
        <v>1</v>
      </c>
      <c r="E75" s="19">
        <v>1850000</v>
      </c>
      <c r="F75" s="15">
        <f>D75*E75</f>
        <v>1850000</v>
      </c>
    </row>
    <row r="76" spans="1:6" ht="33.75" x14ac:dyDescent="0.25">
      <c r="A76" s="11"/>
      <c r="B76" s="12" t="s">
        <v>90</v>
      </c>
      <c r="C76" s="19" t="s">
        <v>91</v>
      </c>
      <c r="D76" s="14">
        <v>38</v>
      </c>
      <c r="E76" s="19">
        <v>165200</v>
      </c>
      <c r="F76" s="15">
        <f>D76*E76</f>
        <v>6277600</v>
      </c>
    </row>
    <row r="77" spans="1:6" ht="90" x14ac:dyDescent="0.25">
      <c r="A77" s="11"/>
      <c r="B77" s="12" t="s">
        <v>92</v>
      </c>
      <c r="C77" s="19" t="s">
        <v>91</v>
      </c>
      <c r="D77" s="14">
        <v>38</v>
      </c>
      <c r="E77" s="19">
        <v>102400</v>
      </c>
      <c r="F77" s="15">
        <f t="shared" ref="F77:F80" si="10">D77*E77</f>
        <v>3891200</v>
      </c>
    </row>
    <row r="78" spans="1:6" ht="101.25" x14ac:dyDescent="0.25">
      <c r="A78" s="11"/>
      <c r="B78" s="12" t="s">
        <v>93</v>
      </c>
      <c r="C78" s="19" t="s">
        <v>6</v>
      </c>
      <c r="D78" s="14">
        <v>1</v>
      </c>
      <c r="E78" s="19">
        <v>1300000</v>
      </c>
      <c r="F78" s="15">
        <f t="shared" si="10"/>
        <v>1300000</v>
      </c>
    </row>
    <row r="79" spans="1:6" ht="67.5" x14ac:dyDescent="0.25">
      <c r="A79" s="11"/>
      <c r="B79" s="12" t="s">
        <v>94</v>
      </c>
      <c r="C79" s="19" t="s">
        <v>95</v>
      </c>
      <c r="D79" s="14">
        <v>0</v>
      </c>
      <c r="E79" s="19">
        <v>235000</v>
      </c>
      <c r="F79" s="15">
        <f t="shared" si="10"/>
        <v>0</v>
      </c>
    </row>
    <row r="80" spans="1:6" ht="33.75" x14ac:dyDescent="0.25">
      <c r="A80" s="11"/>
      <c r="B80" s="12" t="s">
        <v>96</v>
      </c>
      <c r="C80" s="19" t="s">
        <v>97</v>
      </c>
      <c r="D80" s="14">
        <v>38</v>
      </c>
      <c r="E80" s="19">
        <v>28900</v>
      </c>
      <c r="F80" s="15">
        <f t="shared" si="10"/>
        <v>1098200</v>
      </c>
    </row>
    <row r="81" spans="1:6" ht="36.75" x14ac:dyDescent="0.25">
      <c r="A81" s="30">
        <v>12</v>
      </c>
      <c r="B81" s="31" t="s">
        <v>98</v>
      </c>
      <c r="C81" s="32"/>
      <c r="D81" s="33"/>
      <c r="E81" s="32"/>
      <c r="F81" s="34">
        <f>SUM(F82:F91)</f>
        <v>11169300</v>
      </c>
    </row>
    <row r="82" spans="1:6" ht="56.25" x14ac:dyDescent="0.25">
      <c r="A82" s="11"/>
      <c r="B82" s="12" t="s">
        <v>99</v>
      </c>
      <c r="C82" s="13" t="s">
        <v>62</v>
      </c>
      <c r="D82" s="14">
        <v>55</v>
      </c>
      <c r="E82" s="15">
        <v>124500</v>
      </c>
      <c r="F82" s="15">
        <f>D82*E82</f>
        <v>6847500</v>
      </c>
    </row>
    <row r="83" spans="1:6" ht="33.75" x14ac:dyDescent="0.25">
      <c r="A83" s="11"/>
      <c r="B83" s="12" t="s">
        <v>100</v>
      </c>
      <c r="C83" s="13" t="s">
        <v>62</v>
      </c>
      <c r="D83" s="14">
        <v>7</v>
      </c>
      <c r="E83" s="15">
        <v>124500</v>
      </c>
      <c r="F83" s="15">
        <f>D83*E83</f>
        <v>871500</v>
      </c>
    </row>
    <row r="84" spans="1:6" ht="33.75" x14ac:dyDescent="0.25">
      <c r="A84" s="11"/>
      <c r="B84" s="12" t="s">
        <v>101</v>
      </c>
      <c r="C84" s="13" t="s">
        <v>62</v>
      </c>
      <c r="D84" s="14">
        <v>3</v>
      </c>
      <c r="E84" s="15">
        <v>124500</v>
      </c>
      <c r="F84" s="15">
        <f t="shared" ref="F84:F91" si="11">D84*E84</f>
        <v>373500</v>
      </c>
    </row>
    <row r="85" spans="1:6" ht="67.5" x14ac:dyDescent="0.25">
      <c r="A85" s="11"/>
      <c r="B85" s="12" t="s">
        <v>102</v>
      </c>
      <c r="C85" s="13" t="s">
        <v>62</v>
      </c>
      <c r="D85" s="14">
        <v>3</v>
      </c>
      <c r="E85" s="15">
        <v>137900</v>
      </c>
      <c r="F85" s="15">
        <f t="shared" si="11"/>
        <v>413700</v>
      </c>
    </row>
    <row r="86" spans="1:6" ht="67.5" x14ac:dyDescent="0.25">
      <c r="A86" s="11"/>
      <c r="B86" s="12" t="s">
        <v>103</v>
      </c>
      <c r="C86" s="13" t="s">
        <v>62</v>
      </c>
      <c r="D86" s="14">
        <v>1</v>
      </c>
      <c r="E86" s="15">
        <v>148500</v>
      </c>
      <c r="F86" s="15">
        <f t="shared" si="11"/>
        <v>148500</v>
      </c>
    </row>
    <row r="87" spans="1:6" ht="90" x14ac:dyDescent="0.25">
      <c r="A87" s="11"/>
      <c r="B87" s="12" t="s">
        <v>104</v>
      </c>
      <c r="C87" s="13" t="s">
        <v>62</v>
      </c>
      <c r="D87" s="14">
        <v>1</v>
      </c>
      <c r="E87" s="15">
        <v>228700</v>
      </c>
      <c r="F87" s="15">
        <f t="shared" si="11"/>
        <v>228700</v>
      </c>
    </row>
    <row r="88" spans="1:6" ht="180" x14ac:dyDescent="0.25">
      <c r="A88" s="11"/>
      <c r="B88" s="12" t="s">
        <v>105</v>
      </c>
      <c r="C88" s="13" t="s">
        <v>62</v>
      </c>
      <c r="D88" s="14">
        <v>3</v>
      </c>
      <c r="E88" s="15">
        <v>154300</v>
      </c>
      <c r="F88" s="15">
        <f t="shared" si="11"/>
        <v>462900</v>
      </c>
    </row>
    <row r="89" spans="1:6" ht="135" x14ac:dyDescent="0.25">
      <c r="A89" s="11"/>
      <c r="B89" s="12" t="s">
        <v>106</v>
      </c>
      <c r="C89" s="13" t="s">
        <v>62</v>
      </c>
      <c r="D89" s="14">
        <v>7</v>
      </c>
      <c r="E89" s="15">
        <v>138900</v>
      </c>
      <c r="F89" s="15">
        <f t="shared" si="11"/>
        <v>972300</v>
      </c>
    </row>
    <row r="90" spans="1:6" ht="101.25" x14ac:dyDescent="0.25">
      <c r="A90" s="11"/>
      <c r="B90" s="12" t="s">
        <v>107</v>
      </c>
      <c r="C90" s="13" t="s">
        <v>62</v>
      </c>
      <c r="D90" s="14">
        <v>2</v>
      </c>
      <c r="E90" s="15">
        <v>187900</v>
      </c>
      <c r="F90" s="15">
        <f t="shared" si="11"/>
        <v>375800</v>
      </c>
    </row>
    <row r="91" spans="1:6" ht="225" x14ac:dyDescent="0.25">
      <c r="A91" s="11"/>
      <c r="B91" s="12" t="s">
        <v>108</v>
      </c>
      <c r="C91" s="13" t="s">
        <v>62</v>
      </c>
      <c r="D91" s="14">
        <v>3</v>
      </c>
      <c r="E91" s="15">
        <v>158300</v>
      </c>
      <c r="F91" s="15">
        <f t="shared" si="11"/>
        <v>474900</v>
      </c>
    </row>
    <row r="92" spans="1:6" ht="247.5" x14ac:dyDescent="0.25">
      <c r="A92" s="11"/>
      <c r="B92" s="12" t="s">
        <v>109</v>
      </c>
      <c r="C92" s="19" t="s">
        <v>62</v>
      </c>
      <c r="D92" s="14">
        <v>1</v>
      </c>
      <c r="E92" s="19">
        <v>1148000</v>
      </c>
      <c r="F92" s="15">
        <f t="shared" ref="F92:F93" si="12">D92*E92</f>
        <v>1148000</v>
      </c>
    </row>
    <row r="93" spans="1:6" ht="191.25" x14ac:dyDescent="0.25">
      <c r="A93" s="11"/>
      <c r="B93" s="12" t="s">
        <v>110</v>
      </c>
      <c r="C93" s="19" t="s">
        <v>62</v>
      </c>
      <c r="D93" s="14">
        <v>1</v>
      </c>
      <c r="E93" s="19">
        <v>550600</v>
      </c>
      <c r="F93" s="15">
        <f t="shared" si="12"/>
        <v>550600</v>
      </c>
    </row>
    <row r="94" spans="1:6" ht="24.75" x14ac:dyDescent="0.25">
      <c r="A94" s="30">
        <v>13</v>
      </c>
      <c r="B94" s="31" t="s">
        <v>111</v>
      </c>
      <c r="C94" s="32"/>
      <c r="D94" s="33"/>
      <c r="E94" s="32"/>
      <c r="F94" s="34">
        <f>SUM(F95:F100)</f>
        <v>3935200</v>
      </c>
    </row>
    <row r="95" spans="1:6" ht="202.5" x14ac:dyDescent="0.25">
      <c r="A95" s="11"/>
      <c r="B95" s="12" t="s">
        <v>112</v>
      </c>
      <c r="C95" s="19" t="s">
        <v>62</v>
      </c>
      <c r="D95" s="14">
        <v>1</v>
      </c>
      <c r="E95" s="19">
        <v>245600</v>
      </c>
      <c r="F95" s="15">
        <f>D95*E95</f>
        <v>245600</v>
      </c>
    </row>
    <row r="96" spans="1:6" ht="146.25" x14ac:dyDescent="0.25">
      <c r="A96" s="11"/>
      <c r="B96" s="12" t="s">
        <v>113</v>
      </c>
      <c r="C96" s="19" t="s">
        <v>62</v>
      </c>
      <c r="D96" s="14">
        <v>1</v>
      </c>
      <c r="E96" s="19">
        <v>154200</v>
      </c>
      <c r="F96" s="15">
        <f t="shared" ref="F96:F100" si="13">D96*E96</f>
        <v>154200</v>
      </c>
    </row>
    <row r="97" spans="1:6" ht="146.25" x14ac:dyDescent="0.25">
      <c r="A97" s="11"/>
      <c r="B97" s="12" t="s">
        <v>114</v>
      </c>
      <c r="C97" s="19" t="s">
        <v>62</v>
      </c>
      <c r="D97" s="14">
        <v>1</v>
      </c>
      <c r="E97" s="19">
        <v>96400</v>
      </c>
      <c r="F97" s="15">
        <f t="shared" si="13"/>
        <v>96400</v>
      </c>
    </row>
    <row r="98" spans="1:6" ht="146.25" x14ac:dyDescent="0.25">
      <c r="A98" s="11"/>
      <c r="B98" s="12" t="s">
        <v>115</v>
      </c>
      <c r="C98" s="19" t="s">
        <v>62</v>
      </c>
      <c r="D98" s="14">
        <v>1</v>
      </c>
      <c r="E98" s="19">
        <v>36800</v>
      </c>
      <c r="F98" s="15">
        <f t="shared" si="13"/>
        <v>36800</v>
      </c>
    </row>
    <row r="99" spans="1:6" ht="146.25" x14ac:dyDescent="0.25">
      <c r="A99" s="11"/>
      <c r="B99" s="12" t="s">
        <v>116</v>
      </c>
      <c r="C99" s="19" t="s">
        <v>62</v>
      </c>
      <c r="D99" s="14">
        <v>9</v>
      </c>
      <c r="E99" s="19">
        <v>30800</v>
      </c>
      <c r="F99" s="15">
        <f t="shared" si="13"/>
        <v>277200</v>
      </c>
    </row>
    <row r="100" spans="1:6" ht="78.75" x14ac:dyDescent="0.25">
      <c r="A100" s="11"/>
      <c r="B100" s="12" t="s">
        <v>117</v>
      </c>
      <c r="C100" s="19" t="s">
        <v>118</v>
      </c>
      <c r="D100" s="14">
        <v>1</v>
      </c>
      <c r="E100" s="19">
        <v>3125000</v>
      </c>
      <c r="F100" s="15">
        <f t="shared" si="13"/>
        <v>3125000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Riveros</dc:creator>
  <cp:lastModifiedBy>Laura Riveros</cp:lastModifiedBy>
  <dcterms:created xsi:type="dcterms:W3CDTF">2026-06-04T02:11:41Z</dcterms:created>
  <dcterms:modified xsi:type="dcterms:W3CDTF">2026-06-05T03:10:13Z</dcterms:modified>
</cp:coreProperties>
</file>