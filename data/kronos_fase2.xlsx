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CA759C4A-D4BB-4DA0-9794-09FC31A27180}" xr6:coauthVersionLast="47" xr6:coauthVersionMax="47" xr10:uidLastSave="{00000000-0000-0000-0000-000000000000}"/>
  <bookViews>
    <workbookView xWindow="-120" yWindow="-120" windowWidth="29040" windowHeight="15720" xr2:uid="{ACA36CF9-8994-46DE-B5AF-B3561657E8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8" i="1" l="1"/>
  <c r="D116" i="1"/>
  <c r="F115" i="1"/>
  <c r="D114" i="1"/>
  <c r="D113" i="1"/>
  <c r="D111" i="1"/>
  <c r="D110" i="1"/>
  <c r="F109" i="1"/>
  <c r="F107" i="1"/>
  <c r="F106" i="1"/>
  <c r="F105" i="1"/>
  <c r="D104" i="1"/>
  <c r="D103" i="1"/>
  <c r="D102" i="1"/>
  <c r="F101" i="1"/>
  <c r="F99" i="1"/>
  <c r="F98" i="1"/>
  <c r="F97" i="1"/>
  <c r="F96" i="1"/>
  <c r="F95" i="1"/>
  <c r="F93" i="1"/>
  <c r="F92" i="1"/>
  <c r="F91" i="1"/>
  <c r="F90" i="1"/>
  <c r="F89" i="1"/>
  <c r="F88" i="1"/>
  <c r="F87" i="1"/>
  <c r="F86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D70" i="1"/>
  <c r="F69" i="1"/>
  <c r="D68" i="1"/>
  <c r="D67" i="1"/>
  <c r="F66" i="1"/>
  <c r="F65" i="1"/>
  <c r="D64" i="1"/>
  <c r="F63" i="1"/>
  <c r="F62" i="1"/>
  <c r="F61" i="1"/>
  <c r="F60" i="1"/>
  <c r="F59" i="1"/>
  <c r="F58" i="1"/>
  <c r="F57" i="1"/>
  <c r="F56" i="1"/>
  <c r="F55" i="1"/>
  <c r="D53" i="1"/>
  <c r="F52" i="1"/>
  <c r="F51" i="1"/>
  <c r="F50" i="1"/>
  <c r="D48" i="1"/>
  <c r="D47" i="1"/>
  <c r="F46" i="1"/>
  <c r="F45" i="1"/>
  <c r="D44" i="1"/>
  <c r="F43" i="1"/>
  <c r="D42" i="1"/>
  <c r="D40" i="1"/>
  <c r="D39" i="1"/>
  <c r="D37" i="1"/>
  <c r="D35" i="1"/>
  <c r="D34" i="1"/>
  <c r="D33" i="1"/>
  <c r="D32" i="1"/>
  <c r="E31" i="1"/>
  <c r="D30" i="1"/>
  <c r="D29" i="1"/>
  <c r="D28" i="1"/>
  <c r="F26" i="1"/>
  <c r="F25" i="1"/>
  <c r="F24" i="1"/>
  <c r="F23" i="1"/>
  <c r="F22" i="1"/>
  <c r="F21" i="1"/>
  <c r="F20" i="1"/>
  <c r="F19" i="1"/>
  <c r="F18" i="1"/>
  <c r="D17" i="1"/>
  <c r="F16" i="1"/>
  <c r="F15" i="1"/>
  <c r="F14" i="1"/>
  <c r="F13" i="1"/>
  <c r="F12" i="1"/>
  <c r="F11" i="1"/>
  <c r="F10" i="1"/>
  <c r="F9" i="1"/>
  <c r="F8" i="1"/>
  <c r="F7" i="1"/>
  <c r="D6" i="1"/>
  <c r="D5" i="1"/>
  <c r="F4" i="1"/>
  <c r="D3" i="1"/>
  <c r="D36" i="1" l="1"/>
  <c r="F32" i="1"/>
  <c r="D117" i="1"/>
  <c r="F117" i="1" s="1"/>
  <c r="F116" i="1"/>
  <c r="F114" i="1"/>
  <c r="F113" i="1"/>
  <c r="D112" i="1"/>
  <c r="F112" i="1" s="1"/>
  <c r="F111" i="1"/>
  <c r="F110" i="1"/>
  <c r="F104" i="1"/>
  <c r="F103" i="1"/>
  <c r="F48" i="1"/>
  <c r="F47" i="1"/>
  <c r="F44" i="1"/>
  <c r="F42" i="1"/>
  <c r="F39" i="1"/>
  <c r="F34" i="1"/>
  <c r="F33" i="1"/>
  <c r="F102" i="1"/>
  <c r="F70" i="1"/>
  <c r="F68" i="1"/>
  <c r="F67" i="1"/>
  <c r="F64" i="1"/>
  <c r="F53" i="1"/>
  <c r="F40" i="1"/>
  <c r="F30" i="1"/>
  <c r="F29" i="1"/>
  <c r="F28" i="1"/>
  <c r="F17" i="1"/>
  <c r="F6" i="1"/>
  <c r="F5" i="1"/>
  <c r="F3" i="1"/>
  <c r="D41" i="1"/>
  <c r="F41" i="1" s="1"/>
  <c r="F37" i="1"/>
  <c r="F35" i="1"/>
  <c r="F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EE3010C1-8455-4877-B198-26211D76B8BD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<sst xmlns="http://schemas.openxmlformats.org/spreadsheetml/2006/main" count="233" uniqueCount="131">
  <si>
    <t>PRELIMINARES</t>
  </si>
  <si>
    <t>M2</t>
  </si>
  <si>
    <t>UN</t>
  </si>
  <si>
    <t>Desconexión de Servicios: fontanería</t>
  </si>
  <si>
    <t>Desmonte de madera en antepecho</t>
  </si>
  <si>
    <t xml:space="preserve">Desmonte de guarda escobas </t>
  </si>
  <si>
    <t>ML</t>
  </si>
  <si>
    <t>Retiro de muebles empotrados existentes</t>
  </si>
  <si>
    <t>Desmonte de redes hidrosanitarias antiguas</t>
  </si>
  <si>
    <t>Regata en muros y pisos</t>
  </si>
  <si>
    <t xml:space="preserve">Limpieza de placa de entre piso para reparaciones </t>
  </si>
  <si>
    <t>GL</t>
  </si>
  <si>
    <t>Desmonte de iluminacion actual</t>
  </si>
  <si>
    <t>MAMPOSTERIAS</t>
  </si>
  <si>
    <t>Un</t>
  </si>
  <si>
    <t>PAÑETES - ENCHAPES - CIELORASOS</t>
  </si>
  <si>
    <t>Resanes de regatas en muros y pisos</t>
  </si>
  <si>
    <t xml:space="preserve">Acabado tipo concreto en muros </t>
  </si>
  <si>
    <t>Dilataciones en z de cielo raso</t>
  </si>
  <si>
    <t>instalacion de cielo razo tipo xsounds</t>
  </si>
  <si>
    <t>Suministro e instalacion de tapas de inspección de cieloraso 60 x 60 tipo push</t>
  </si>
  <si>
    <t>Nichos de luz en drywall Y COVE</t>
  </si>
  <si>
    <t>Reforzamiento cielo raso y muros para vidrios y puertas</t>
  </si>
  <si>
    <t>PISOS</t>
  </si>
  <si>
    <t>Aire acondicionado</t>
  </si>
  <si>
    <t>PINTURA GENERAL</t>
  </si>
  <si>
    <t xml:space="preserve">Pintura vinílica </t>
  </si>
  <si>
    <t>Pintura vinílica blanca en cieloraso</t>
  </si>
  <si>
    <t>pintura gris basalto en placa de entre piso</t>
  </si>
  <si>
    <t>9.</t>
  </si>
  <si>
    <t xml:space="preserve">Salida para luminaria colgante lampara </t>
  </si>
  <si>
    <t>Salida para luminaria lineal cinta led</t>
  </si>
  <si>
    <t>Salida para luminaria lineal colgante</t>
  </si>
  <si>
    <t>Salida para spot de luces x5</t>
  </si>
  <si>
    <t>Salida para balas recesadas pequeñas</t>
  </si>
  <si>
    <t>Salida para luz hermetica</t>
  </si>
  <si>
    <t>Salida para luz de emergencia red de incendios</t>
  </si>
  <si>
    <t xml:space="preserve">Salida para puerta principal </t>
  </si>
  <si>
    <t>Instalación de luminaria lineal cinta led ( INCLUYE SUMINISTRO)</t>
  </si>
  <si>
    <t>Instalación de luminaria spot de luces x5(INCLUYE SUMINISTRO)</t>
  </si>
  <si>
    <t>Instalación de luminaria lineal colgante especial(INCLUYE SUMINISTRO)</t>
  </si>
  <si>
    <t>Suministro e intalacion de luz hermatica</t>
  </si>
  <si>
    <t>instalacion iluminaria  balas recesadas (INCLUYE SUMINISTRO)</t>
  </si>
  <si>
    <t>Instalacion de interruptores dobles (INCLUYE SUMINISTRO)</t>
  </si>
  <si>
    <t>Salida para tomacorriente red normal doble Nema 5-15R 120VAC Levitón standard color blanco o similar en tuberia</t>
  </si>
  <si>
    <t>Salida para tomacorrientes doblesmarca Levitón color naranja red regulada de mesas de trabajo. Cada salida con ciruito independiente en cable 10 AWG</t>
  </si>
  <si>
    <t>Patch panel categoria 6A de 24 puertos</t>
  </si>
  <si>
    <t xml:space="preserve">UN </t>
  </si>
  <si>
    <t>Patch cord cat 6A de 2M</t>
  </si>
  <si>
    <t>Toda la tuberia sera EMT. La tuberia EMT sera sobre puesta bajo placa y en muros o pisos, incluye jack faceplate, marquillado</t>
  </si>
  <si>
    <t xml:space="preserve">Salida para punto de datos en CAT 6A </t>
  </si>
  <si>
    <t>Patch cord cat 6A de 1.5M</t>
  </si>
  <si>
    <t>Certificaciones CAT 6A</t>
  </si>
  <si>
    <t>Puntos para red wifi</t>
  </si>
  <si>
    <t>m2</t>
  </si>
  <si>
    <t>gl</t>
  </si>
  <si>
    <t>ml</t>
  </si>
  <si>
    <t>Demolición muro muro de drywall</t>
  </si>
  <si>
    <t>Demolicion de enchape en pisos</t>
  </si>
  <si>
    <t xml:space="preserve">Demolicion de muro en mamposteria </t>
  </si>
  <si>
    <t>Demolicion enchape en muros</t>
  </si>
  <si>
    <t>Desmonte de tablero actual en division de muro</t>
  </si>
  <si>
    <t>desmonte de toda la red electrica antigua</t>
  </si>
  <si>
    <t>Desmonte de marmol en COCINA</t>
  </si>
  <si>
    <t>Eliminación de logo en drywall sencinet</t>
  </si>
  <si>
    <t>Desmonte de Accesorios: Retirar lavabos</t>
  </si>
  <si>
    <t>Demolicion malmol entrada</t>
  </si>
  <si>
    <t>Desconexión de Equipos:Desconectar sistemas de calefacción, ventilación, aire acondicionado u otros equipos técnicos.</t>
  </si>
  <si>
    <t>Suspención de puntos hidrosanitarios</t>
  </si>
  <si>
    <t>arreglo de placa de contrapiso</t>
  </si>
  <si>
    <t xml:space="preserve">limpieza de  placa de entre piso </t>
  </si>
  <si>
    <t>Material proteccion</t>
  </si>
  <si>
    <t>Retiro de escombros</t>
  </si>
  <si>
    <t xml:space="preserve">Muros en Dry Wall dos caras 12Cm </t>
  </si>
  <si>
    <t xml:space="preserve">Dinteles en drywall </t>
  </si>
  <si>
    <t>Muro Drywal 1 Cara</t>
  </si>
  <si>
    <t>Muro en mixto de drywall y superboard 11 cm</t>
  </si>
  <si>
    <t>muro en mamposteria con ladrillo gran formato   y grafil de 4mm cada 6 hiladas con dovelas</t>
  </si>
  <si>
    <t xml:space="preserve">materas en material segun referencia y diseño </t>
  </si>
  <si>
    <t>impermeabilizante en materas y muros de mamposteria, tanto en pisos</t>
  </si>
  <si>
    <t>Frescasa para muros</t>
  </si>
  <si>
    <t>Frescasa para cielo razo</t>
  </si>
  <si>
    <t>instalacion de enchapes segun diseño</t>
  </si>
  <si>
    <t>Cieloraso en Drywall</t>
  </si>
  <si>
    <t>Cortineros en drywall</t>
  </si>
  <si>
    <t>Alistado de piso o desmonte de capa esmaltada</t>
  </si>
  <si>
    <t>Alistado de piso para zona de marmol profundidad de 4 cms</t>
  </si>
  <si>
    <t>Instalacion de perfil metalico en piso</t>
  </si>
  <si>
    <t>INSTALACION ELECTRICA  Y DATOS</t>
  </si>
  <si>
    <t>Salida para interruptores dobles y sensores</t>
  </si>
  <si>
    <t>Instalacion para luminaria colgante lampara estilo campana (INCLUYE SUMINISTRO)</t>
  </si>
  <si>
    <t xml:space="preserve">suministro de driver para cinta led </t>
  </si>
  <si>
    <t>sumnistro he instalacion de cable HDMI de hasta 10 mts</t>
  </si>
  <si>
    <t>Instalacion de sensores  (INCLUYE SUMINISTRO)</t>
  </si>
  <si>
    <t xml:space="preserve">Complemento Tablero Eléctrico Integrado </t>
  </si>
  <si>
    <t>Ducto bandeja suministro mas instalacion  25cm</t>
  </si>
  <si>
    <t>Parcial de Circuito cable libre de alogenos calibre 12  3#12</t>
  </si>
  <si>
    <t>Parcial de Circuito cable libre de alogenos calibre 12  3#10</t>
  </si>
  <si>
    <t>salida para tomacorrientes GFCI</t>
  </si>
  <si>
    <t>Patch panel categoria 5E de 24 puertos</t>
  </si>
  <si>
    <t>Patch cord cat 5E de 2M</t>
  </si>
  <si>
    <t xml:space="preserve">Salida para punto de datos en CAT 5E </t>
  </si>
  <si>
    <t>Patch cord cat 5E de 1.5 M</t>
  </si>
  <si>
    <t>Certificaciones CAT 5E</t>
  </si>
  <si>
    <t xml:space="preserve">certificacion retie </t>
  </si>
  <si>
    <t>espiroducto + accesorios</t>
  </si>
  <si>
    <t>Rejilla circula Negra</t>
  </si>
  <si>
    <t>movimiento y ubicacion de red de aires acondicionados</t>
  </si>
  <si>
    <t xml:space="preserve">monte y desmonte de tuberia electrica </t>
  </si>
  <si>
    <t xml:space="preserve">reubicacion de ramales y cajas de volumen variable,
Reubicacion de las 4 cajas de volumen variable existente 
</t>
  </si>
  <si>
    <t>UND</t>
  </si>
  <si>
    <t>CARPINTERIAS ALUMINIO + CRISTALES</t>
  </si>
  <si>
    <t>Traslado de puerta en vidrio provisional</t>
  </si>
  <si>
    <t>Suministro e instalación de vinilo negro mate para cristales existentes en obra.</t>
  </si>
  <si>
    <t>Suministro e Instalación de Divisiones fijas enmarcadas y reticuladas en perfileria de aluminio,
Ref: ALN-416, ALN-292, ALN-177, Incluye empaques de neopreno, Cristal laminado crudo 4+4
Incoloro para parte superior e inferior y Cristal laminado 4+4 con PVB Blanco sólido para parte media.</t>
  </si>
  <si>
    <t>Suministro e Instalación de Puerta Corredera enmarcada en perfileria de aluminio, Ref: ALN-1102,
ALN-177, ALN-839, Tubular de 2x1, bisagras omega, incluye empaques de neopreno, tope de
piso, cerradura de palanca Bari; Cristal laminado crudo 4+4 Incoloro.</t>
  </si>
  <si>
    <t>Suministro e Instalación de Puerta batiente enmarcada en perfileria de aluminio, Ref: ALN-1102,
ALN-177, ALN-839, Tubular de 2x1, bisagras omega, incluye empaques de neopreno, tope de
piso, cerradura de palanca Bari; Cristal laminado crudo 4+4 Incoloro.</t>
  </si>
  <si>
    <t>MOTOR PARA APERTURA Y CERRADO DE PUERTA DE INGRESO PRINCIPAL</t>
  </si>
  <si>
    <t>Suministro e instalación de vidrio templado de 10mm inc para puerta corredera con dos fijos
laterales y dos hojas que corren. Incluye kit de puerta automatico AVANTI6300 de 6.3 metros de
anchjo. Tecnologia full range voltage que funciona desde 95V-265V a 60HZ. Incluye dos sensores de
doble funcion ACCESVISION sirve para presencia y movimiento, dos controles de 433 MHZ
multifunción. Funciona a 110/220V.</t>
  </si>
  <si>
    <t xml:space="preserve">Pañete en muros </t>
  </si>
  <si>
    <t>Estuco en muros</t>
  </si>
  <si>
    <t xml:space="preserve">pintura en perfiles de cielo raso color negro segun referencia </t>
  </si>
  <si>
    <t>pintura en tuberias en cielo raso</t>
  </si>
  <si>
    <t xml:space="preserve">pintura en tuberias de aires acondicionados </t>
  </si>
  <si>
    <t>Pagos Kronos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</si>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</sst>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d&quot; de &quot;mmm&quot; de &quot;yy"/>
    <numFmt numFmtId="165" formatCode="#,##0.0_ ;[Red]\-#,##0.0\ "/>
    <numFmt numFmtId="166" formatCode="_(* #,##0_);_(* \(#,##0\);_(* \-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44" fontId="3" fillId="0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49" fontId="6" fillId="3" borderId="6" xfId="0" applyNumberFormat="1" applyFont="1" applyFill="1" applyBorder="1" applyAlignment="1">
      <alignment vertical="center"/>
    </xf>
    <xf numFmtId="164" fontId="6" fillId="3" borderId="7" xfId="0" applyNumberFormat="1" applyFont="1" applyFill="1" applyBorder="1" applyAlignment="1">
      <alignment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139A-8F4C-487F-8D46-359C68B417D7}">
  <dimension ref="A1:H118"/>
  <sheetViews>
    <sheetView tabSelected="1" workbookViewId="0">
      <selection sqref="A1:XFD1"/>
    </sheetView>
  </sheetViews>
  <sheetFormatPr baseColWidth="10" defaultRowHeight="16.5" x14ac:dyDescent="0.3"/>
  <cols>
    <col min="1" max="1" width="13.28515625" style="1" customWidth="1"/>
    <col min="2" max="2" width="74.140625" style="2" customWidth="1"/>
    <col min="3" max="3" width="13" style="3"/>
    <col min="4" max="4" width="13.28515625" style="3" customWidth="1"/>
    <col min="5" max="5" width="20" style="4" customWidth="1"/>
    <col min="6" max="6" width="21.28515625" style="4" customWidth="1"/>
  </cols>
  <sheetData>
    <row r="1" spans="1:8" ht="15" x14ac:dyDescent="0.25">
      <c r="A1" s="21" t="s">
        <v>125</v>
      </c>
      <c r="B1" s="22" t="s">
        <v>126</v>
      </c>
      <c r="C1" s="23" t="s">
        <v>127</v>
      </c>
      <c r="D1" s="24" t="s">
        <v>128</v>
      </c>
      <c r="E1" s="25" t="s">
        <v>129</v>
      </c>
      <c r="F1" s="26" t="s">
        <v>130</v>
      </c>
    </row>
    <row r="2" spans="1:8" s="11" customFormat="1" ht="14.25" x14ac:dyDescent="0.3">
      <c r="A2" s="5">
        <v>1</v>
      </c>
      <c r="B2" s="6" t="s">
        <v>0</v>
      </c>
      <c r="C2" s="7"/>
      <c r="D2" s="7"/>
      <c r="E2" s="8"/>
      <c r="F2" s="8"/>
      <c r="G2" s="9"/>
      <c r="H2" s="10"/>
    </row>
    <row r="3" spans="1:8" s="11" customFormat="1" ht="14.25" x14ac:dyDescent="0.3">
      <c r="A3" s="12"/>
      <c r="B3" s="13" t="s">
        <v>57</v>
      </c>
      <c r="C3" s="10" t="s">
        <v>1</v>
      </c>
      <c r="D3" s="10">
        <f>+(5.25+3.06+11.63+2.94+1+0.53+4+3.68+3.68+2.14+0.2+1.54+0.2+3.1+1.9)*2.7</f>
        <v>121.09500000000003</v>
      </c>
      <c r="E3" s="14">
        <v>15800</v>
      </c>
      <c r="F3" s="14">
        <f t="shared" ref="F3:F23" si="0">+D3*E3</f>
        <v>1913301.0000000005</v>
      </c>
      <c r="G3" s="9"/>
      <c r="H3" s="10"/>
    </row>
    <row r="4" spans="1:8" s="11" customFormat="1" ht="14.25" x14ac:dyDescent="0.3">
      <c r="A4" s="12"/>
      <c r="B4" s="13" t="s">
        <v>58</v>
      </c>
      <c r="C4" s="10" t="s">
        <v>1</v>
      </c>
      <c r="D4" s="10">
        <v>45.21</v>
      </c>
      <c r="E4" s="14">
        <v>18000</v>
      </c>
      <c r="F4" s="14">
        <f t="shared" si="0"/>
        <v>813780</v>
      </c>
      <c r="G4" s="9"/>
      <c r="H4" s="10"/>
    </row>
    <row r="5" spans="1:8" s="11" customFormat="1" ht="14.25" x14ac:dyDescent="0.3">
      <c r="A5" s="12"/>
      <c r="B5" s="13" t="s">
        <v>59</v>
      </c>
      <c r="C5" s="10" t="s">
        <v>1</v>
      </c>
      <c r="D5" s="10">
        <f>3.6*2.5</f>
        <v>9</v>
      </c>
      <c r="E5" s="14">
        <v>18500</v>
      </c>
      <c r="F5" s="14">
        <f t="shared" si="0"/>
        <v>166500</v>
      </c>
      <c r="G5" s="9"/>
      <c r="H5" s="10"/>
    </row>
    <row r="6" spans="1:8" s="11" customFormat="1" ht="14.25" x14ac:dyDescent="0.3">
      <c r="A6" s="12"/>
      <c r="B6" s="13" t="s">
        <v>60</v>
      </c>
      <c r="C6" s="10" t="s">
        <v>1</v>
      </c>
      <c r="D6" s="10">
        <f>12.53*2.45</f>
        <v>30.698499999999999</v>
      </c>
      <c r="E6" s="14">
        <v>18000</v>
      </c>
      <c r="F6" s="14">
        <f t="shared" si="0"/>
        <v>552573</v>
      </c>
      <c r="G6" s="9"/>
      <c r="H6" s="10"/>
    </row>
    <row r="7" spans="1:8" s="11" customFormat="1" ht="14.25" x14ac:dyDescent="0.3">
      <c r="A7" s="12"/>
      <c r="B7" s="13" t="s">
        <v>61</v>
      </c>
      <c r="C7" s="10" t="s">
        <v>2</v>
      </c>
      <c r="D7" s="10">
        <v>4</v>
      </c>
      <c r="E7" s="14">
        <v>85000</v>
      </c>
      <c r="F7" s="14">
        <f t="shared" si="0"/>
        <v>340000</v>
      </c>
      <c r="G7" s="9"/>
      <c r="H7" s="10"/>
    </row>
    <row r="8" spans="1:8" s="11" customFormat="1" ht="14.25" x14ac:dyDescent="0.3">
      <c r="A8" s="12"/>
      <c r="B8" s="13" t="s">
        <v>62</v>
      </c>
      <c r="C8" s="10" t="s">
        <v>11</v>
      </c>
      <c r="D8" s="10">
        <v>1</v>
      </c>
      <c r="E8" s="14">
        <v>650000</v>
      </c>
      <c r="F8" s="14">
        <f t="shared" si="0"/>
        <v>650000</v>
      </c>
      <c r="G8" s="9"/>
      <c r="H8" s="10"/>
    </row>
    <row r="9" spans="1:8" s="11" customFormat="1" ht="14.25" x14ac:dyDescent="0.3">
      <c r="A9" s="12"/>
      <c r="B9" s="13" t="s">
        <v>63</v>
      </c>
      <c r="C9" s="10" t="s">
        <v>2</v>
      </c>
      <c r="D9" s="10">
        <v>1</v>
      </c>
      <c r="E9" s="14">
        <v>125000</v>
      </c>
      <c r="F9" s="14">
        <f t="shared" si="0"/>
        <v>125000</v>
      </c>
      <c r="G9" s="9"/>
      <c r="H9" s="10"/>
    </row>
    <row r="10" spans="1:8" s="11" customFormat="1" ht="14.25" x14ac:dyDescent="0.3">
      <c r="A10" s="12"/>
      <c r="B10" s="13" t="s">
        <v>64</v>
      </c>
      <c r="C10" s="10" t="s">
        <v>11</v>
      </c>
      <c r="D10" s="10">
        <v>1</v>
      </c>
      <c r="E10" s="14">
        <v>90000</v>
      </c>
      <c r="F10" s="14">
        <f t="shared" si="0"/>
        <v>90000</v>
      </c>
      <c r="G10" s="9"/>
      <c r="H10" s="10"/>
    </row>
    <row r="11" spans="1:8" s="11" customFormat="1" ht="14.25" x14ac:dyDescent="0.3">
      <c r="A11" s="12"/>
      <c r="B11" s="13" t="s">
        <v>3</v>
      </c>
      <c r="C11" s="10" t="s">
        <v>2</v>
      </c>
      <c r="D11" s="10">
        <v>2</v>
      </c>
      <c r="E11" s="14">
        <v>30000</v>
      </c>
      <c r="F11" s="14">
        <f t="shared" si="0"/>
        <v>60000</v>
      </c>
      <c r="G11" s="9"/>
      <c r="H11" s="10"/>
    </row>
    <row r="12" spans="1:8" s="11" customFormat="1" ht="14.25" x14ac:dyDescent="0.3">
      <c r="A12" s="12"/>
      <c r="B12" s="13" t="s">
        <v>65</v>
      </c>
      <c r="C12" s="10" t="s">
        <v>2</v>
      </c>
      <c r="D12" s="10">
        <v>1</v>
      </c>
      <c r="E12" s="14">
        <v>25000</v>
      </c>
      <c r="F12" s="14">
        <f t="shared" si="0"/>
        <v>25000</v>
      </c>
      <c r="G12" s="9"/>
      <c r="H12" s="10"/>
    </row>
    <row r="13" spans="1:8" s="11" customFormat="1" ht="14.25" x14ac:dyDescent="0.3">
      <c r="A13" s="12"/>
      <c r="B13" s="13" t="s">
        <v>4</v>
      </c>
      <c r="C13" s="10" t="s">
        <v>2</v>
      </c>
      <c r="D13" s="10">
        <v>5</v>
      </c>
      <c r="E13" s="14">
        <v>65000</v>
      </c>
      <c r="F13" s="14">
        <f t="shared" si="0"/>
        <v>325000</v>
      </c>
      <c r="G13" s="9"/>
      <c r="H13" s="10"/>
    </row>
    <row r="14" spans="1:8" s="11" customFormat="1" ht="14.25" x14ac:dyDescent="0.3">
      <c r="A14" s="12"/>
      <c r="B14" s="13" t="s">
        <v>66</v>
      </c>
      <c r="C14" s="10" t="s">
        <v>1</v>
      </c>
      <c r="D14" s="10">
        <v>4.28</v>
      </c>
      <c r="E14" s="14">
        <v>54000</v>
      </c>
      <c r="F14" s="14">
        <f t="shared" si="0"/>
        <v>231120</v>
      </c>
      <c r="G14" s="9"/>
      <c r="H14" s="10"/>
    </row>
    <row r="15" spans="1:8" s="11" customFormat="1" ht="28.5" x14ac:dyDescent="0.3">
      <c r="A15" s="12"/>
      <c r="B15" s="13" t="s">
        <v>67</v>
      </c>
      <c r="C15" s="10" t="s">
        <v>2</v>
      </c>
      <c r="D15" s="10">
        <v>4</v>
      </c>
      <c r="E15" s="14">
        <v>65000</v>
      </c>
      <c r="F15" s="14">
        <f t="shared" si="0"/>
        <v>260000</v>
      </c>
      <c r="G15" s="9"/>
      <c r="H15" s="10"/>
    </row>
    <row r="16" spans="1:8" s="11" customFormat="1" ht="14.25" x14ac:dyDescent="0.3">
      <c r="A16" s="12"/>
      <c r="B16" s="13" t="s">
        <v>68</v>
      </c>
      <c r="C16" s="10" t="s">
        <v>2</v>
      </c>
      <c r="D16" s="10">
        <v>2</v>
      </c>
      <c r="E16" s="14">
        <v>18000</v>
      </c>
      <c r="F16" s="14">
        <f t="shared" si="0"/>
        <v>36000</v>
      </c>
      <c r="G16" s="9"/>
      <c r="H16" s="10"/>
    </row>
    <row r="17" spans="1:8" s="11" customFormat="1" ht="14.25" x14ac:dyDescent="0.3">
      <c r="A17" s="12"/>
      <c r="B17" s="13" t="s">
        <v>5</v>
      </c>
      <c r="C17" s="10" t="s">
        <v>6</v>
      </c>
      <c r="D17" s="10">
        <f>9.1+17.1+3.83+3.55+1+1+1+3.94+6.8+2.4+0.6+2.1+3.57+3.4+3.4+2.4+5+15.27+4+4+4+2.14+2.14+2.14+2.14+5.7+3.4+3+3+3+5.25</f>
        <v>129.37</v>
      </c>
      <c r="E17" s="14">
        <v>6000</v>
      </c>
      <c r="F17" s="14">
        <f t="shared" si="0"/>
        <v>776220</v>
      </c>
      <c r="G17" s="9"/>
      <c r="H17" s="10"/>
    </row>
    <row r="18" spans="1:8" s="11" customFormat="1" ht="14.25" x14ac:dyDescent="0.3">
      <c r="A18" s="12"/>
      <c r="B18" s="13" t="s">
        <v>7</v>
      </c>
      <c r="C18" s="10" t="s">
        <v>2</v>
      </c>
      <c r="D18" s="10">
        <v>14</v>
      </c>
      <c r="E18" s="14">
        <v>65000</v>
      </c>
      <c r="F18" s="14">
        <f t="shared" si="0"/>
        <v>910000</v>
      </c>
      <c r="G18" s="9"/>
      <c r="H18" s="10"/>
    </row>
    <row r="19" spans="1:8" s="11" customFormat="1" ht="14.25" x14ac:dyDescent="0.3">
      <c r="A19" s="12"/>
      <c r="B19" s="13" t="s">
        <v>8</v>
      </c>
      <c r="C19" s="10" t="s">
        <v>2</v>
      </c>
      <c r="D19" s="10">
        <v>2</v>
      </c>
      <c r="E19" s="14">
        <v>850000</v>
      </c>
      <c r="F19" s="14">
        <f t="shared" si="0"/>
        <v>1700000</v>
      </c>
      <c r="G19" s="9"/>
      <c r="H19" s="10"/>
    </row>
    <row r="20" spans="1:8" s="11" customFormat="1" ht="14.25" x14ac:dyDescent="0.3">
      <c r="A20" s="12"/>
      <c r="B20" s="13" t="s">
        <v>9</v>
      </c>
      <c r="C20" s="10" t="s">
        <v>6</v>
      </c>
      <c r="D20" s="10">
        <v>100</v>
      </c>
      <c r="E20" s="14">
        <v>14500</v>
      </c>
      <c r="F20" s="14">
        <f t="shared" si="0"/>
        <v>1450000</v>
      </c>
      <c r="G20" s="9"/>
      <c r="H20" s="10"/>
    </row>
    <row r="21" spans="1:8" s="11" customFormat="1" ht="14.25" x14ac:dyDescent="0.3">
      <c r="A21" s="12"/>
      <c r="B21" s="13" t="s">
        <v>10</v>
      </c>
      <c r="C21" s="10" t="s">
        <v>1</v>
      </c>
      <c r="D21" s="10">
        <v>276</v>
      </c>
      <c r="E21" s="14">
        <v>14000</v>
      </c>
      <c r="F21" s="14">
        <f t="shared" si="0"/>
        <v>3864000</v>
      </c>
      <c r="G21" s="9"/>
      <c r="H21" s="10"/>
    </row>
    <row r="22" spans="1:8" s="11" customFormat="1" ht="14.25" x14ac:dyDescent="0.3">
      <c r="A22" s="12"/>
      <c r="B22" s="13" t="s">
        <v>69</v>
      </c>
      <c r="C22" s="10" t="s">
        <v>1</v>
      </c>
      <c r="D22" s="10">
        <v>276</v>
      </c>
      <c r="E22" s="14"/>
      <c r="F22" s="14">
        <f t="shared" si="0"/>
        <v>0</v>
      </c>
      <c r="G22" s="9"/>
      <c r="H22" s="10"/>
    </row>
    <row r="23" spans="1:8" s="11" customFormat="1" ht="14.25" x14ac:dyDescent="0.3">
      <c r="A23" s="12"/>
      <c r="B23" s="13" t="s">
        <v>70</v>
      </c>
      <c r="C23" s="10" t="s">
        <v>1</v>
      </c>
      <c r="D23" s="10">
        <v>276</v>
      </c>
      <c r="E23" s="14">
        <v>5600</v>
      </c>
      <c r="F23" s="14">
        <f t="shared" si="0"/>
        <v>1545600</v>
      </c>
      <c r="G23" s="9"/>
      <c r="H23" s="10"/>
    </row>
    <row r="24" spans="1:8" s="11" customFormat="1" ht="14.25" x14ac:dyDescent="0.3">
      <c r="A24" s="12"/>
      <c r="B24" s="13" t="s">
        <v>12</v>
      </c>
      <c r="C24" s="10" t="s">
        <v>2</v>
      </c>
      <c r="D24" s="10">
        <v>54</v>
      </c>
      <c r="E24" s="14">
        <v>8000</v>
      </c>
      <c r="F24" s="14">
        <f>D24*E24</f>
        <v>432000</v>
      </c>
      <c r="G24" s="9"/>
      <c r="H24" s="10"/>
    </row>
    <row r="25" spans="1:8" s="11" customFormat="1" ht="14.25" x14ac:dyDescent="0.3">
      <c r="A25" s="12"/>
      <c r="B25" s="13" t="s">
        <v>71</v>
      </c>
      <c r="C25" s="10" t="s">
        <v>2</v>
      </c>
      <c r="D25" s="10">
        <v>10</v>
      </c>
      <c r="E25" s="14">
        <v>45000</v>
      </c>
      <c r="F25" s="14">
        <f>+D25*E25</f>
        <v>450000</v>
      </c>
      <c r="G25" s="9"/>
      <c r="H25" s="10"/>
    </row>
    <row r="26" spans="1:8" s="11" customFormat="1" ht="14.25" x14ac:dyDescent="0.3">
      <c r="A26" s="12"/>
      <c r="B26" s="13" t="s">
        <v>72</v>
      </c>
      <c r="C26" s="10" t="s">
        <v>11</v>
      </c>
      <c r="D26" s="10">
        <v>1</v>
      </c>
      <c r="E26" s="14">
        <v>2000000</v>
      </c>
      <c r="F26" s="14">
        <f>+D26*E26</f>
        <v>2000000</v>
      </c>
      <c r="G26" s="9"/>
      <c r="H26" s="10"/>
    </row>
    <row r="27" spans="1:8" s="11" customFormat="1" ht="14.25" x14ac:dyDescent="0.3">
      <c r="A27" s="5">
        <v>2</v>
      </c>
      <c r="B27" s="6" t="s">
        <v>13</v>
      </c>
      <c r="C27" s="7"/>
      <c r="D27" s="7"/>
      <c r="E27" s="8"/>
      <c r="F27" s="8"/>
      <c r="G27" s="9"/>
      <c r="H27" s="10"/>
    </row>
    <row r="28" spans="1:8" s="11" customFormat="1" ht="14.25" x14ac:dyDescent="0.3">
      <c r="A28" s="12"/>
      <c r="B28" s="13" t="s">
        <v>73</v>
      </c>
      <c r="C28" s="10" t="s">
        <v>1</v>
      </c>
      <c r="D28" s="10">
        <f>+(3.66+3.44+2.5+3.22+2.68+1.5+2.86+6.32+1.43+1.06+3.82+2.2)*3</f>
        <v>104.07</v>
      </c>
      <c r="E28" s="14">
        <v>127400</v>
      </c>
      <c r="F28" s="14">
        <f t="shared" ref="F28:F37" si="1">+D28*E28</f>
        <v>13258518</v>
      </c>
      <c r="G28" s="9"/>
      <c r="H28" s="10"/>
    </row>
    <row r="29" spans="1:8" s="11" customFormat="1" ht="14.25" x14ac:dyDescent="0.3">
      <c r="A29" s="12"/>
      <c r="B29" s="13" t="s">
        <v>73</v>
      </c>
      <c r="C29" s="10" t="s">
        <v>6</v>
      </c>
      <c r="D29" s="10">
        <f>(6)*3</f>
        <v>18</v>
      </c>
      <c r="E29" s="14">
        <v>76440</v>
      </c>
      <c r="F29" s="14">
        <f t="shared" si="1"/>
        <v>1375920</v>
      </c>
      <c r="G29" s="9"/>
      <c r="H29" s="10"/>
    </row>
    <row r="30" spans="1:8" s="11" customFormat="1" ht="14.25" x14ac:dyDescent="0.3">
      <c r="A30" s="12"/>
      <c r="B30" s="13" t="s">
        <v>74</v>
      </c>
      <c r="C30" s="10" t="s">
        <v>6</v>
      </c>
      <c r="D30" s="10">
        <f>(1+2.68+1.1+2.68+1+6.75+4.25+3.8+4+1)*2</f>
        <v>56.52</v>
      </c>
      <c r="E30" s="14">
        <v>102600</v>
      </c>
      <c r="F30" s="14">
        <f t="shared" si="1"/>
        <v>5798952</v>
      </c>
      <c r="G30" s="9"/>
      <c r="H30" s="10"/>
    </row>
    <row r="31" spans="1:8" s="11" customFormat="1" ht="14.25" x14ac:dyDescent="0.3">
      <c r="A31" s="12"/>
      <c r="B31" s="13" t="s">
        <v>75</v>
      </c>
      <c r="C31" s="10" t="s">
        <v>54</v>
      </c>
      <c r="D31" s="10"/>
      <c r="E31" s="14">
        <f>E28*0.8</f>
        <v>101920</v>
      </c>
      <c r="F31" s="14"/>
      <c r="G31" s="9"/>
      <c r="H31" s="10"/>
    </row>
    <row r="32" spans="1:8" s="11" customFormat="1" ht="14.25" x14ac:dyDescent="0.3">
      <c r="A32" s="12"/>
      <c r="B32" s="13" t="s">
        <v>76</v>
      </c>
      <c r="C32" s="10" t="s">
        <v>6</v>
      </c>
      <c r="D32" s="10">
        <f>+(3.92+3.3+1.72+1+1.18)*3</f>
        <v>33.36</v>
      </c>
      <c r="E32" s="14">
        <v>165868</v>
      </c>
      <c r="F32" s="14">
        <f t="shared" si="1"/>
        <v>5533356.4799999995</v>
      </c>
      <c r="G32" s="9"/>
      <c r="H32" s="10"/>
    </row>
    <row r="33" spans="1:8" s="11" customFormat="1" ht="28.5" x14ac:dyDescent="0.3">
      <c r="A33" s="12"/>
      <c r="B33" s="13" t="s">
        <v>77</v>
      </c>
      <c r="C33" s="10" t="s">
        <v>1</v>
      </c>
      <c r="D33" s="10">
        <f>+(5.1+4.05)*3</f>
        <v>27.449999999999996</v>
      </c>
      <c r="E33" s="14">
        <v>285900</v>
      </c>
      <c r="F33" s="14">
        <f t="shared" si="1"/>
        <v>7847954.9999999991</v>
      </c>
      <c r="G33" s="9"/>
      <c r="H33" s="10"/>
    </row>
    <row r="34" spans="1:8" s="11" customFormat="1" ht="14.25" x14ac:dyDescent="0.3">
      <c r="A34" s="12"/>
      <c r="B34" s="13" t="s">
        <v>78</v>
      </c>
      <c r="C34" s="10" t="s">
        <v>6</v>
      </c>
      <c r="D34" s="10">
        <f>1.8+3.9+2.2+1+1+1</f>
        <v>10.9</v>
      </c>
      <c r="E34" s="14">
        <v>0</v>
      </c>
      <c r="F34" s="14">
        <f t="shared" si="1"/>
        <v>0</v>
      </c>
      <c r="G34" s="9"/>
      <c r="H34" s="10"/>
    </row>
    <row r="35" spans="1:8" s="11" customFormat="1" ht="14.25" x14ac:dyDescent="0.3">
      <c r="A35" s="12"/>
      <c r="B35" s="13" t="s">
        <v>79</v>
      </c>
      <c r="C35" s="10" t="s">
        <v>1</v>
      </c>
      <c r="D35" s="10">
        <f>50.62+7.7+2.1+3.65+1.8+1.8+0.3+0.3+1</f>
        <v>69.27</v>
      </c>
      <c r="E35" s="14">
        <v>18000</v>
      </c>
      <c r="F35" s="14">
        <f t="shared" si="1"/>
        <v>1246860</v>
      </c>
      <c r="G35" s="9"/>
      <c r="H35" s="10"/>
    </row>
    <row r="36" spans="1:8" s="11" customFormat="1" ht="14.25" x14ac:dyDescent="0.3">
      <c r="A36" s="12"/>
      <c r="B36" s="13" t="s">
        <v>80</v>
      </c>
      <c r="C36" s="10" t="s">
        <v>1</v>
      </c>
      <c r="D36" s="10">
        <f>+D28+D29+D32+D30</f>
        <v>211.95000000000002</v>
      </c>
      <c r="E36" s="14">
        <v>18400</v>
      </c>
      <c r="F36" s="14">
        <f t="shared" si="1"/>
        <v>3899880.0000000005</v>
      </c>
      <c r="G36" s="9"/>
      <c r="H36" s="10"/>
    </row>
    <row r="37" spans="1:8" s="11" customFormat="1" ht="14.25" x14ac:dyDescent="0.3">
      <c r="A37" s="12"/>
      <c r="B37" s="13" t="s">
        <v>81</v>
      </c>
      <c r="C37" s="10" t="s">
        <v>1</v>
      </c>
      <c r="D37" s="10">
        <f>149.51+32.74</f>
        <v>182.25</v>
      </c>
      <c r="E37" s="14">
        <v>18400</v>
      </c>
      <c r="F37" s="14">
        <f t="shared" si="1"/>
        <v>3353400</v>
      </c>
      <c r="G37" s="9"/>
      <c r="H37" s="10"/>
    </row>
    <row r="38" spans="1:8" s="11" customFormat="1" ht="14.25" x14ac:dyDescent="0.3">
      <c r="A38" s="5">
        <v>3</v>
      </c>
      <c r="B38" s="6" t="s">
        <v>15</v>
      </c>
      <c r="C38" s="7"/>
      <c r="D38" s="7"/>
      <c r="E38" s="8"/>
      <c r="F38" s="8"/>
      <c r="G38" s="9"/>
      <c r="H38" s="10"/>
    </row>
    <row r="39" spans="1:8" s="11" customFormat="1" ht="14.25" x14ac:dyDescent="0.3">
      <c r="A39" s="12"/>
      <c r="B39" s="13" t="s">
        <v>16</v>
      </c>
      <c r="C39" s="10" t="s">
        <v>6</v>
      </c>
      <c r="D39" s="10">
        <f>+D20</f>
        <v>100</v>
      </c>
      <c r="E39" s="14">
        <v>13800</v>
      </c>
      <c r="F39" s="14">
        <f t="shared" ref="F39:F48" si="2">+D39*E39</f>
        <v>1380000</v>
      </c>
      <c r="G39" s="9"/>
      <c r="H39" s="10"/>
    </row>
    <row r="40" spans="1:8" s="11" customFormat="1" ht="14.25" x14ac:dyDescent="0.3">
      <c r="A40" s="12"/>
      <c r="B40" s="13" t="s">
        <v>17</v>
      </c>
      <c r="C40" s="10" t="s">
        <v>1</v>
      </c>
      <c r="D40" s="10">
        <f>(4.3+0.66+3.1+3.75+3.2)*3</f>
        <v>45.03</v>
      </c>
      <c r="E40" s="14">
        <v>136900</v>
      </c>
      <c r="F40" s="14">
        <f t="shared" si="2"/>
        <v>6164607</v>
      </c>
      <c r="G40" s="9"/>
      <c r="H40" s="10"/>
    </row>
    <row r="41" spans="1:8" s="11" customFormat="1" ht="14.25" x14ac:dyDescent="0.3">
      <c r="A41" s="12"/>
      <c r="B41" s="13" t="s">
        <v>82</v>
      </c>
      <c r="C41" s="10" t="s">
        <v>1</v>
      </c>
      <c r="D41" s="10">
        <f>+D40</f>
        <v>45.03</v>
      </c>
      <c r="E41" s="14">
        <v>38700</v>
      </c>
      <c r="F41" s="14">
        <f t="shared" si="2"/>
        <v>1742661</v>
      </c>
      <c r="G41" s="9"/>
      <c r="H41" s="10"/>
    </row>
    <row r="42" spans="1:8" s="11" customFormat="1" ht="14.25" x14ac:dyDescent="0.3">
      <c r="A42" s="12"/>
      <c r="B42" s="13" t="s">
        <v>18</v>
      </c>
      <c r="C42" s="10" t="s">
        <v>6</v>
      </c>
      <c r="D42" s="10">
        <f>45+4.3+4.3+4.3+3.3+3.3+3.3+2.96+2.96+2.96+2.96+4+4+5.2+5.2+5.2+5.2+5.2+5.2+1.8+1.8+1.8+1.8+1.8+1.8</f>
        <v>129.63999999999996</v>
      </c>
      <c r="E42" s="14">
        <v>16400</v>
      </c>
      <c r="F42" s="14">
        <f t="shared" si="2"/>
        <v>2126095.9999999995</v>
      </c>
      <c r="G42" s="9"/>
      <c r="H42" s="10"/>
    </row>
    <row r="43" spans="1:8" s="11" customFormat="1" ht="14.25" x14ac:dyDescent="0.3">
      <c r="A43" s="12"/>
      <c r="B43" s="13" t="s">
        <v>83</v>
      </c>
      <c r="C43" s="10" t="s">
        <v>1</v>
      </c>
      <c r="D43" s="10">
        <v>182.25</v>
      </c>
      <c r="E43" s="14">
        <v>88900</v>
      </c>
      <c r="F43" s="14">
        <f t="shared" si="2"/>
        <v>16202025</v>
      </c>
      <c r="G43" s="9"/>
      <c r="H43" s="10"/>
    </row>
    <row r="44" spans="1:8" s="11" customFormat="1" ht="14.25" x14ac:dyDescent="0.3">
      <c r="A44" s="12"/>
      <c r="B44" s="13" t="s">
        <v>19</v>
      </c>
      <c r="C44" s="10" t="s">
        <v>2</v>
      </c>
      <c r="D44" s="10">
        <f>36+36</f>
        <v>72</v>
      </c>
      <c r="E44" s="14">
        <v>152499</v>
      </c>
      <c r="F44" s="14">
        <f t="shared" si="2"/>
        <v>10979928</v>
      </c>
      <c r="G44" s="9"/>
      <c r="H44" s="10"/>
    </row>
    <row r="45" spans="1:8" s="11" customFormat="1" ht="14.25" x14ac:dyDescent="0.3">
      <c r="A45" s="12"/>
      <c r="B45" s="13" t="s">
        <v>20</v>
      </c>
      <c r="C45" s="10" t="s">
        <v>2</v>
      </c>
      <c r="D45" s="10">
        <v>9</v>
      </c>
      <c r="E45" s="14">
        <v>155200</v>
      </c>
      <c r="F45" s="14">
        <f t="shared" si="2"/>
        <v>1396800</v>
      </c>
      <c r="G45" s="9"/>
      <c r="H45" s="10"/>
    </row>
    <row r="46" spans="1:8" s="11" customFormat="1" ht="14.25" x14ac:dyDescent="0.3">
      <c r="A46" s="12"/>
      <c r="B46" s="13" t="s">
        <v>21</v>
      </c>
      <c r="C46" s="10" t="s">
        <v>6</v>
      </c>
      <c r="D46" s="10">
        <v>85</v>
      </c>
      <c r="E46" s="14">
        <v>52400</v>
      </c>
      <c r="F46" s="14">
        <f t="shared" si="2"/>
        <v>4454000</v>
      </c>
      <c r="G46" s="9"/>
      <c r="H46" s="10"/>
    </row>
    <row r="47" spans="1:8" s="11" customFormat="1" ht="14.25" x14ac:dyDescent="0.3">
      <c r="A47" s="12"/>
      <c r="B47" s="13" t="s">
        <v>84</v>
      </c>
      <c r="C47" s="10" t="s">
        <v>6</v>
      </c>
      <c r="D47" s="10">
        <f>+(6.3+3.1+6.3)*4</f>
        <v>62.8</v>
      </c>
      <c r="E47" s="14">
        <v>65800</v>
      </c>
      <c r="F47" s="14">
        <f t="shared" si="2"/>
        <v>4132240</v>
      </c>
      <c r="G47" s="9"/>
      <c r="H47" s="10"/>
    </row>
    <row r="48" spans="1:8" s="11" customFormat="1" ht="14.25" x14ac:dyDescent="0.3">
      <c r="A48" s="12"/>
      <c r="B48" s="13" t="s">
        <v>22</v>
      </c>
      <c r="C48" s="10" t="s">
        <v>6</v>
      </c>
      <c r="D48" s="10">
        <f>2.2+2.2+2.2+2.2+6.76+4.3+3.65+4.15+6+4.8</f>
        <v>38.459999999999994</v>
      </c>
      <c r="E48" s="14">
        <v>25800</v>
      </c>
      <c r="F48" s="14">
        <f t="shared" si="2"/>
        <v>992267.99999999988</v>
      </c>
      <c r="G48" s="9"/>
      <c r="H48" s="10"/>
    </row>
    <row r="49" spans="1:8" s="11" customFormat="1" ht="14.25" x14ac:dyDescent="0.3">
      <c r="A49" s="5">
        <v>4</v>
      </c>
      <c r="B49" s="6" t="s">
        <v>23</v>
      </c>
      <c r="C49" s="7"/>
      <c r="D49" s="7"/>
      <c r="E49" s="8"/>
      <c r="F49" s="8"/>
      <c r="G49" s="9"/>
      <c r="H49" s="10"/>
    </row>
    <row r="50" spans="1:8" s="11" customFormat="1" ht="14.25" x14ac:dyDescent="0.3">
      <c r="A50" s="12"/>
      <c r="B50" s="13" t="s">
        <v>85</v>
      </c>
      <c r="C50" s="10" t="s">
        <v>1</v>
      </c>
      <c r="D50" s="10">
        <v>276</v>
      </c>
      <c r="E50" s="14">
        <v>38700</v>
      </c>
      <c r="F50" s="14">
        <f>+D50*E50</f>
        <v>10681200</v>
      </c>
      <c r="G50" s="9"/>
      <c r="H50" s="9"/>
    </row>
    <row r="51" spans="1:8" s="11" customFormat="1" ht="14.25" x14ac:dyDescent="0.3">
      <c r="A51" s="12"/>
      <c r="B51" s="13" t="s">
        <v>86</v>
      </c>
      <c r="C51" s="10" t="s">
        <v>1</v>
      </c>
      <c r="D51" s="10">
        <v>8</v>
      </c>
      <c r="E51" s="14">
        <v>65800</v>
      </c>
      <c r="F51" s="14">
        <f>+D51*E51</f>
        <v>526400</v>
      </c>
      <c r="G51" s="9"/>
      <c r="H51" s="10"/>
    </row>
    <row r="52" spans="1:8" s="11" customFormat="1" ht="14.25" x14ac:dyDescent="0.3">
      <c r="A52" s="12"/>
      <c r="B52" s="13" t="s">
        <v>82</v>
      </c>
      <c r="C52" s="10" t="s">
        <v>1</v>
      </c>
      <c r="D52" s="10">
        <v>276</v>
      </c>
      <c r="E52" s="14">
        <v>43400</v>
      </c>
      <c r="F52" s="14">
        <f>+D52*E52</f>
        <v>11978400</v>
      </c>
      <c r="G52" s="9"/>
      <c r="H52" s="10"/>
    </row>
    <row r="53" spans="1:8" s="11" customFormat="1" ht="14.25" x14ac:dyDescent="0.3">
      <c r="A53" s="12"/>
      <c r="B53" s="13" t="s">
        <v>87</v>
      </c>
      <c r="C53" s="10" t="s">
        <v>6</v>
      </c>
      <c r="D53" s="10">
        <f>3.75+3.7+9.65+5.65+5.65</f>
        <v>28.4</v>
      </c>
      <c r="E53" s="14">
        <v>12000</v>
      </c>
      <c r="F53" s="14">
        <f>+D53*E53</f>
        <v>340800</v>
      </c>
      <c r="G53" s="9"/>
      <c r="H53" s="10"/>
    </row>
    <row r="54" spans="1:8" s="11" customFormat="1" ht="14.25" x14ac:dyDescent="0.3">
      <c r="A54" s="5">
        <v>5</v>
      </c>
      <c r="B54" s="6" t="s">
        <v>88</v>
      </c>
      <c r="C54" s="7"/>
      <c r="D54" s="7"/>
      <c r="E54" s="8"/>
      <c r="F54" s="8"/>
      <c r="G54" s="9"/>
      <c r="H54" s="10"/>
    </row>
    <row r="55" spans="1:8" s="11" customFormat="1" ht="14.25" x14ac:dyDescent="0.3">
      <c r="A55" s="5"/>
      <c r="B55" s="13" t="s">
        <v>30</v>
      </c>
      <c r="C55" s="10" t="s">
        <v>2</v>
      </c>
      <c r="D55" s="10">
        <v>16</v>
      </c>
      <c r="E55" s="14">
        <v>115400</v>
      </c>
      <c r="F55" s="14">
        <f t="shared" ref="F55:F63" si="3">+E55*D55</f>
        <v>1846400</v>
      </c>
      <c r="G55" s="9"/>
      <c r="H55" s="10"/>
    </row>
    <row r="56" spans="1:8" s="11" customFormat="1" ht="14.25" x14ac:dyDescent="0.3">
      <c r="A56" s="5"/>
      <c r="B56" s="13" t="s">
        <v>31</v>
      </c>
      <c r="C56" s="10" t="s">
        <v>2</v>
      </c>
      <c r="D56" s="10">
        <v>12</v>
      </c>
      <c r="E56" s="14">
        <v>115400</v>
      </c>
      <c r="F56" s="14">
        <f t="shared" si="3"/>
        <v>1384800</v>
      </c>
      <c r="G56" s="9"/>
      <c r="H56" s="10"/>
    </row>
    <row r="57" spans="1:8" s="11" customFormat="1" ht="14.25" x14ac:dyDescent="0.3">
      <c r="A57" s="5"/>
      <c r="B57" s="13" t="s">
        <v>32</v>
      </c>
      <c r="C57" s="10" t="s">
        <v>2</v>
      </c>
      <c r="D57" s="10">
        <v>17</v>
      </c>
      <c r="E57" s="14">
        <v>115400</v>
      </c>
      <c r="F57" s="14">
        <f t="shared" si="3"/>
        <v>1961800</v>
      </c>
      <c r="G57" s="9"/>
      <c r="H57" s="10"/>
    </row>
    <row r="58" spans="1:8" s="11" customFormat="1" ht="14.25" x14ac:dyDescent="0.3">
      <c r="A58" s="5"/>
      <c r="B58" s="13" t="s">
        <v>33</v>
      </c>
      <c r="C58" s="10" t="s">
        <v>2</v>
      </c>
      <c r="D58" s="10">
        <v>13</v>
      </c>
      <c r="E58" s="14">
        <v>115400</v>
      </c>
      <c r="F58" s="14">
        <f t="shared" si="3"/>
        <v>1500200</v>
      </c>
      <c r="G58" s="9"/>
      <c r="H58" s="10"/>
    </row>
    <row r="59" spans="1:8" s="11" customFormat="1" ht="14.25" x14ac:dyDescent="0.3">
      <c r="A59" s="5"/>
      <c r="B59" s="13" t="s">
        <v>34</v>
      </c>
      <c r="C59" s="10" t="s">
        <v>2</v>
      </c>
      <c r="D59" s="10">
        <v>30</v>
      </c>
      <c r="E59" s="14">
        <v>115400</v>
      </c>
      <c r="F59" s="14">
        <f t="shared" si="3"/>
        <v>3462000</v>
      </c>
      <c r="G59" s="9"/>
      <c r="H59" s="10"/>
    </row>
    <row r="60" spans="1:8" s="11" customFormat="1" ht="14.25" x14ac:dyDescent="0.3">
      <c r="A60" s="5"/>
      <c r="B60" s="13" t="s">
        <v>89</v>
      </c>
      <c r="C60" s="10" t="s">
        <v>2</v>
      </c>
      <c r="D60" s="10">
        <v>8</v>
      </c>
      <c r="E60" s="14">
        <v>115400</v>
      </c>
      <c r="F60" s="14">
        <f t="shared" si="3"/>
        <v>923200</v>
      </c>
      <c r="G60" s="9"/>
      <c r="H60" s="10"/>
    </row>
    <row r="61" spans="1:8" s="11" customFormat="1" ht="14.25" x14ac:dyDescent="0.3">
      <c r="A61" s="5"/>
      <c r="B61" s="13" t="s">
        <v>35</v>
      </c>
      <c r="C61" s="10" t="s">
        <v>2</v>
      </c>
      <c r="D61" s="10">
        <v>1</v>
      </c>
      <c r="E61" s="14">
        <v>115400</v>
      </c>
      <c r="F61" s="14">
        <f t="shared" si="3"/>
        <v>115400</v>
      </c>
      <c r="G61" s="9"/>
      <c r="H61" s="10"/>
    </row>
    <row r="62" spans="1:8" s="11" customFormat="1" ht="14.25" x14ac:dyDescent="0.3">
      <c r="A62" s="5"/>
      <c r="B62" s="13" t="s">
        <v>36</v>
      </c>
      <c r="C62" s="10" t="s">
        <v>2</v>
      </c>
      <c r="D62" s="10">
        <v>10</v>
      </c>
      <c r="E62" s="14">
        <v>115400</v>
      </c>
      <c r="F62" s="14">
        <f t="shared" si="3"/>
        <v>1154000</v>
      </c>
      <c r="G62" s="9"/>
      <c r="H62" s="10"/>
    </row>
    <row r="63" spans="1:8" s="11" customFormat="1" ht="14.25" x14ac:dyDescent="0.3">
      <c r="A63" s="5"/>
      <c r="B63" s="13" t="s">
        <v>37</v>
      </c>
      <c r="C63" s="10" t="s">
        <v>2</v>
      </c>
      <c r="D63" s="10">
        <v>1</v>
      </c>
      <c r="E63" s="14">
        <v>285800</v>
      </c>
      <c r="F63" s="14">
        <f t="shared" si="3"/>
        <v>285800</v>
      </c>
      <c r="G63" s="9"/>
      <c r="H63" s="10"/>
    </row>
    <row r="64" spans="1:8" s="11" customFormat="1" ht="14.25" x14ac:dyDescent="0.3">
      <c r="A64" s="5"/>
      <c r="B64" s="13" t="s">
        <v>90</v>
      </c>
      <c r="C64" s="10" t="s">
        <v>2</v>
      </c>
      <c r="D64" s="10">
        <f>+D55</f>
        <v>16</v>
      </c>
      <c r="E64" s="14"/>
      <c r="F64" s="14">
        <f t="shared" ref="F64:F73" si="4">+E64*D64</f>
        <v>0</v>
      </c>
      <c r="G64" s="9"/>
      <c r="H64" s="10"/>
    </row>
    <row r="65" spans="1:8" s="11" customFormat="1" ht="14.25" x14ac:dyDescent="0.3">
      <c r="A65" s="5"/>
      <c r="B65" s="13" t="s">
        <v>38</v>
      </c>
      <c r="C65" s="10" t="s">
        <v>6</v>
      </c>
      <c r="D65" s="10">
        <v>85</v>
      </c>
      <c r="E65" s="14"/>
      <c r="F65" s="14">
        <f t="shared" si="4"/>
        <v>0</v>
      </c>
      <c r="G65" s="9"/>
      <c r="H65" s="10"/>
    </row>
    <row r="66" spans="1:8" s="11" customFormat="1" ht="14.25" x14ac:dyDescent="0.3">
      <c r="A66" s="5"/>
      <c r="B66" s="13" t="s">
        <v>91</v>
      </c>
      <c r="C66" s="10" t="s">
        <v>2</v>
      </c>
      <c r="D66" s="10">
        <v>10</v>
      </c>
      <c r="E66" s="14"/>
      <c r="F66" s="14">
        <f t="shared" si="4"/>
        <v>0</v>
      </c>
      <c r="G66" s="9"/>
      <c r="H66" s="10"/>
    </row>
    <row r="67" spans="1:8" s="11" customFormat="1" ht="14.25" x14ac:dyDescent="0.3">
      <c r="A67" s="5"/>
      <c r="B67" s="13" t="s">
        <v>39</v>
      </c>
      <c r="C67" s="10" t="s">
        <v>2</v>
      </c>
      <c r="D67" s="10">
        <f>+D58</f>
        <v>13</v>
      </c>
      <c r="E67" s="14"/>
      <c r="F67" s="14">
        <f t="shared" si="4"/>
        <v>0</v>
      </c>
      <c r="G67" s="9"/>
      <c r="H67" s="10"/>
    </row>
    <row r="68" spans="1:8" s="11" customFormat="1" ht="14.25" x14ac:dyDescent="0.3">
      <c r="A68" s="5"/>
      <c r="B68" s="13" t="s">
        <v>40</v>
      </c>
      <c r="C68" s="10" t="s">
        <v>2</v>
      </c>
      <c r="D68" s="10">
        <f>+D57</f>
        <v>17</v>
      </c>
      <c r="E68" s="14"/>
      <c r="F68" s="14">
        <f t="shared" si="4"/>
        <v>0</v>
      </c>
      <c r="G68" s="9"/>
      <c r="H68" s="10"/>
    </row>
    <row r="69" spans="1:8" s="11" customFormat="1" ht="14.25" x14ac:dyDescent="0.3">
      <c r="A69" s="5"/>
      <c r="B69" s="13" t="s">
        <v>41</v>
      </c>
      <c r="C69" s="10" t="s">
        <v>2</v>
      </c>
      <c r="D69" s="10">
        <v>1</v>
      </c>
      <c r="E69" s="14"/>
      <c r="F69" s="14">
        <f t="shared" si="4"/>
        <v>0</v>
      </c>
      <c r="G69" s="9"/>
      <c r="H69" s="10"/>
    </row>
    <row r="70" spans="1:8" s="11" customFormat="1" ht="14.25" x14ac:dyDescent="0.3">
      <c r="A70" s="5"/>
      <c r="B70" s="13" t="s">
        <v>42</v>
      </c>
      <c r="C70" s="10" t="s">
        <v>2</v>
      </c>
      <c r="D70" s="10">
        <f>+D59</f>
        <v>30</v>
      </c>
      <c r="E70" s="14"/>
      <c r="F70" s="14">
        <f t="shared" si="4"/>
        <v>0</v>
      </c>
      <c r="G70" s="9"/>
      <c r="H70" s="10"/>
    </row>
    <row r="71" spans="1:8" s="11" customFormat="1" ht="14.25" x14ac:dyDescent="0.3">
      <c r="A71" s="5"/>
      <c r="B71" s="13" t="s">
        <v>43</v>
      </c>
      <c r="C71" s="10" t="s">
        <v>2</v>
      </c>
      <c r="D71" s="10">
        <v>8</v>
      </c>
      <c r="E71" s="14">
        <v>48700</v>
      </c>
      <c r="F71" s="14">
        <f t="shared" si="4"/>
        <v>389600</v>
      </c>
      <c r="G71" s="9"/>
      <c r="H71" s="10"/>
    </row>
    <row r="72" spans="1:8" s="11" customFormat="1" ht="14.25" x14ac:dyDescent="0.3">
      <c r="A72" s="5"/>
      <c r="B72" s="13" t="s">
        <v>92</v>
      </c>
      <c r="C72" s="10" t="s">
        <v>2</v>
      </c>
      <c r="D72" s="10">
        <v>2</v>
      </c>
      <c r="E72" s="14">
        <v>28500</v>
      </c>
      <c r="F72" s="14">
        <f t="shared" si="4"/>
        <v>57000</v>
      </c>
      <c r="G72" s="9"/>
      <c r="H72" s="10"/>
    </row>
    <row r="73" spans="1:8" s="11" customFormat="1" ht="14.25" x14ac:dyDescent="0.3">
      <c r="A73" s="5"/>
      <c r="B73" s="13" t="s">
        <v>93</v>
      </c>
      <c r="C73" s="10" t="s">
        <v>2</v>
      </c>
      <c r="D73" s="10">
        <v>8</v>
      </c>
      <c r="E73" s="14">
        <v>195800</v>
      </c>
      <c r="F73" s="14">
        <f t="shared" si="4"/>
        <v>1566400</v>
      </c>
      <c r="G73" s="9"/>
      <c r="H73" s="10"/>
    </row>
    <row r="74" spans="1:8" s="11" customFormat="1" ht="14.25" x14ac:dyDescent="0.3">
      <c r="A74" s="5"/>
      <c r="B74" s="13" t="s">
        <v>94</v>
      </c>
      <c r="C74" s="10" t="s">
        <v>11</v>
      </c>
      <c r="D74" s="10">
        <v>1</v>
      </c>
      <c r="E74" s="14">
        <v>7850000</v>
      </c>
      <c r="F74" s="14">
        <f t="shared" ref="F74:F84" si="5">+E74*D74</f>
        <v>7850000</v>
      </c>
      <c r="G74" s="9"/>
      <c r="H74" s="10"/>
    </row>
    <row r="75" spans="1:8" s="11" customFormat="1" ht="14.25" x14ac:dyDescent="0.3">
      <c r="A75" s="5"/>
      <c r="B75" s="13" t="s">
        <v>95</v>
      </c>
      <c r="C75" s="10" t="s">
        <v>56</v>
      </c>
      <c r="D75" s="10">
        <v>35</v>
      </c>
      <c r="E75" s="14">
        <v>135400</v>
      </c>
      <c r="F75" s="14">
        <f t="shared" si="5"/>
        <v>4739000</v>
      </c>
      <c r="G75" s="9"/>
      <c r="H75" s="10"/>
    </row>
    <row r="76" spans="1:8" s="11" customFormat="1" ht="14.25" x14ac:dyDescent="0.3">
      <c r="A76" s="5"/>
      <c r="B76" s="13" t="s">
        <v>96</v>
      </c>
      <c r="C76" s="10" t="s">
        <v>56</v>
      </c>
      <c r="D76" s="10">
        <v>400</v>
      </c>
      <c r="E76" s="14">
        <v>13625</v>
      </c>
      <c r="F76" s="14">
        <f t="shared" si="5"/>
        <v>5450000</v>
      </c>
      <c r="G76" s="9"/>
      <c r="H76" s="10"/>
    </row>
    <row r="77" spans="1:8" s="11" customFormat="1" ht="14.25" x14ac:dyDescent="0.3">
      <c r="A77" s="5"/>
      <c r="B77" s="13" t="s">
        <v>97</v>
      </c>
      <c r="C77" s="10" t="s">
        <v>56</v>
      </c>
      <c r="D77" s="10">
        <v>400</v>
      </c>
      <c r="E77" s="14">
        <v>13625</v>
      </c>
      <c r="F77" s="14">
        <f t="shared" si="5"/>
        <v>5450000</v>
      </c>
      <c r="G77" s="9"/>
      <c r="H77" s="10"/>
    </row>
    <row r="78" spans="1:8" s="11" customFormat="1" ht="28.5" x14ac:dyDescent="0.3">
      <c r="A78" s="5"/>
      <c r="B78" s="13" t="s">
        <v>44</v>
      </c>
      <c r="C78" s="10" t="s">
        <v>2</v>
      </c>
      <c r="D78" s="10">
        <v>63</v>
      </c>
      <c r="E78" s="14">
        <v>125400</v>
      </c>
      <c r="F78" s="14">
        <f t="shared" si="5"/>
        <v>7900200</v>
      </c>
      <c r="G78" s="9"/>
      <c r="H78" s="10"/>
    </row>
    <row r="79" spans="1:8" s="11" customFormat="1" ht="14.25" x14ac:dyDescent="0.3">
      <c r="A79" s="5"/>
      <c r="B79" s="13" t="s">
        <v>98</v>
      </c>
      <c r="C79" s="10" t="s">
        <v>2</v>
      </c>
      <c r="D79" s="10">
        <v>4</v>
      </c>
      <c r="E79" s="14">
        <v>146800</v>
      </c>
      <c r="F79" s="14">
        <f t="shared" si="5"/>
        <v>587200</v>
      </c>
      <c r="G79" s="9"/>
      <c r="H79" s="10"/>
    </row>
    <row r="80" spans="1:8" s="11" customFormat="1" ht="28.5" x14ac:dyDescent="0.3">
      <c r="A80" s="5"/>
      <c r="B80" s="13" t="s">
        <v>45</v>
      </c>
      <c r="C80" s="10" t="s">
        <v>2</v>
      </c>
      <c r="D80" s="10">
        <v>40</v>
      </c>
      <c r="E80" s="14">
        <v>134700</v>
      </c>
      <c r="F80" s="14">
        <f t="shared" si="5"/>
        <v>5388000</v>
      </c>
      <c r="G80" s="9"/>
      <c r="H80" s="10"/>
    </row>
    <row r="81" spans="1:8" s="11" customFormat="1" ht="14.25" x14ac:dyDescent="0.3">
      <c r="A81" s="5"/>
      <c r="B81" s="13" t="s">
        <v>46</v>
      </c>
      <c r="C81" s="10" t="s">
        <v>47</v>
      </c>
      <c r="D81" s="10">
        <v>2</v>
      </c>
      <c r="E81" s="14">
        <v>480000</v>
      </c>
      <c r="F81" s="14">
        <f t="shared" si="5"/>
        <v>960000</v>
      </c>
      <c r="G81" s="9"/>
      <c r="H81" s="10"/>
    </row>
    <row r="82" spans="1:8" s="11" customFormat="1" ht="14.25" x14ac:dyDescent="0.3">
      <c r="A82" s="5"/>
      <c r="B82" s="13" t="s">
        <v>99</v>
      </c>
      <c r="C82" s="10" t="s">
        <v>2</v>
      </c>
      <c r="D82" s="10">
        <v>1</v>
      </c>
      <c r="E82" s="14">
        <v>280000</v>
      </c>
      <c r="F82" s="14">
        <f t="shared" si="5"/>
        <v>280000</v>
      </c>
      <c r="G82" s="9"/>
      <c r="H82" s="10"/>
    </row>
    <row r="83" spans="1:8" s="11" customFormat="1" ht="14.25" x14ac:dyDescent="0.3">
      <c r="A83" s="5"/>
      <c r="B83" s="13" t="s">
        <v>48</v>
      </c>
      <c r="C83" s="10" t="s">
        <v>2</v>
      </c>
      <c r="D83" s="10">
        <v>36</v>
      </c>
      <c r="E83" s="14">
        <v>38900</v>
      </c>
      <c r="F83" s="14">
        <f t="shared" si="5"/>
        <v>1400400</v>
      </c>
      <c r="G83" s="9"/>
      <c r="H83" s="10"/>
    </row>
    <row r="84" spans="1:8" s="11" customFormat="1" ht="14.25" x14ac:dyDescent="0.3">
      <c r="A84" s="5"/>
      <c r="B84" s="13" t="s">
        <v>100</v>
      </c>
      <c r="C84" s="10" t="s">
        <v>2</v>
      </c>
      <c r="D84" s="10">
        <v>15</v>
      </c>
      <c r="E84" s="14">
        <v>22400</v>
      </c>
      <c r="F84" s="14">
        <f t="shared" si="5"/>
        <v>336000</v>
      </c>
      <c r="G84" s="9"/>
      <c r="H84" s="10"/>
    </row>
    <row r="85" spans="1:8" s="11" customFormat="1" ht="41.25" customHeight="1" x14ac:dyDescent="0.3">
      <c r="A85" s="5"/>
      <c r="B85" s="16" t="s">
        <v>49</v>
      </c>
      <c r="C85" s="17"/>
      <c r="D85" s="17"/>
      <c r="E85" s="17"/>
      <c r="F85" s="18"/>
      <c r="G85" s="15"/>
      <c r="H85" s="15"/>
    </row>
    <row r="86" spans="1:8" s="11" customFormat="1" ht="14.25" x14ac:dyDescent="0.3">
      <c r="A86" s="5"/>
      <c r="B86" s="13" t="s">
        <v>50</v>
      </c>
      <c r="C86" s="10" t="s">
        <v>2</v>
      </c>
      <c r="D86" s="10">
        <v>36</v>
      </c>
      <c r="E86" s="14">
        <v>245800</v>
      </c>
      <c r="F86" s="14">
        <f t="shared" ref="F86:F93" si="6">+E86*D86</f>
        <v>8848800</v>
      </c>
      <c r="G86" s="9"/>
      <c r="H86" s="10"/>
    </row>
    <row r="87" spans="1:8" s="11" customFormat="1" ht="14.25" x14ac:dyDescent="0.3">
      <c r="A87" s="5"/>
      <c r="B87" s="13" t="s">
        <v>101</v>
      </c>
      <c r="C87" s="10" t="s">
        <v>2</v>
      </c>
      <c r="D87" s="10">
        <v>15</v>
      </c>
      <c r="E87" s="14">
        <v>185600</v>
      </c>
      <c r="F87" s="14">
        <f t="shared" si="6"/>
        <v>2784000</v>
      </c>
      <c r="G87" s="9"/>
      <c r="H87" s="10"/>
    </row>
    <row r="88" spans="1:8" s="11" customFormat="1" ht="14.25" x14ac:dyDescent="0.3">
      <c r="A88" s="5"/>
      <c r="B88" s="13" t="s">
        <v>51</v>
      </c>
      <c r="C88" s="10" t="s">
        <v>2</v>
      </c>
      <c r="D88" s="10">
        <v>36</v>
      </c>
      <c r="E88" s="14">
        <v>34600</v>
      </c>
      <c r="F88" s="14">
        <f t="shared" si="6"/>
        <v>1245600</v>
      </c>
      <c r="G88" s="9"/>
      <c r="H88" s="10"/>
    </row>
    <row r="89" spans="1:8" s="11" customFormat="1" ht="14.25" x14ac:dyDescent="0.3">
      <c r="A89" s="5"/>
      <c r="B89" s="13" t="s">
        <v>102</v>
      </c>
      <c r="C89" s="10" t="s">
        <v>2</v>
      </c>
      <c r="D89" s="10">
        <v>15</v>
      </c>
      <c r="E89" s="14">
        <v>18900</v>
      </c>
      <c r="F89" s="14">
        <f t="shared" si="6"/>
        <v>283500</v>
      </c>
      <c r="G89" s="9"/>
      <c r="H89" s="10"/>
    </row>
    <row r="90" spans="1:8" s="11" customFormat="1" ht="14.25" x14ac:dyDescent="0.3">
      <c r="A90" s="5"/>
      <c r="B90" s="13" t="s">
        <v>52</v>
      </c>
      <c r="C90" s="10" t="s">
        <v>2</v>
      </c>
      <c r="D90" s="10">
        <v>36</v>
      </c>
      <c r="E90" s="14">
        <v>20800</v>
      </c>
      <c r="F90" s="14">
        <f t="shared" si="6"/>
        <v>748800</v>
      </c>
      <c r="G90" s="9"/>
      <c r="H90" s="10"/>
    </row>
    <row r="91" spans="1:8" s="11" customFormat="1" ht="14.25" x14ac:dyDescent="0.3">
      <c r="A91" s="5"/>
      <c r="B91" s="13" t="s">
        <v>103</v>
      </c>
      <c r="C91" s="10" t="s">
        <v>2</v>
      </c>
      <c r="D91" s="10">
        <v>15</v>
      </c>
      <c r="E91" s="14">
        <v>20800</v>
      </c>
      <c r="F91" s="14">
        <f t="shared" si="6"/>
        <v>312000</v>
      </c>
      <c r="G91" s="9"/>
      <c r="H91" s="10"/>
    </row>
    <row r="92" spans="1:8" s="11" customFormat="1" ht="14.25" x14ac:dyDescent="0.3">
      <c r="A92" s="5"/>
      <c r="B92" s="13" t="s">
        <v>53</v>
      </c>
      <c r="C92" s="10" t="s">
        <v>2</v>
      </c>
      <c r="D92" s="10">
        <v>4</v>
      </c>
      <c r="E92" s="14">
        <v>245800</v>
      </c>
      <c r="F92" s="14">
        <f t="shared" si="6"/>
        <v>983200</v>
      </c>
      <c r="G92" s="9"/>
      <c r="H92" s="10"/>
    </row>
    <row r="93" spans="1:8" s="11" customFormat="1" ht="14.25" x14ac:dyDescent="0.3">
      <c r="A93" s="5"/>
      <c r="B93" s="13" t="s">
        <v>104</v>
      </c>
      <c r="C93" s="10" t="s">
        <v>11</v>
      </c>
      <c r="D93" s="10">
        <v>1</v>
      </c>
      <c r="E93" s="14"/>
      <c r="F93" s="14">
        <f t="shared" si="6"/>
        <v>0</v>
      </c>
      <c r="G93" s="9"/>
      <c r="H93" s="10"/>
    </row>
    <row r="94" spans="1:8" s="11" customFormat="1" ht="14.25" x14ac:dyDescent="0.3">
      <c r="A94" s="5">
        <v>6</v>
      </c>
      <c r="B94" s="6" t="s">
        <v>24</v>
      </c>
      <c r="C94" s="7"/>
      <c r="D94" s="7"/>
      <c r="E94" s="8"/>
      <c r="F94" s="8"/>
      <c r="G94" s="9"/>
      <c r="H94" s="10"/>
    </row>
    <row r="95" spans="1:8" s="11" customFormat="1" ht="14.25" x14ac:dyDescent="0.3">
      <c r="A95" s="12"/>
      <c r="B95" s="13" t="s">
        <v>105</v>
      </c>
      <c r="C95" s="10" t="s">
        <v>6</v>
      </c>
      <c r="D95" s="10">
        <v>22.5</v>
      </c>
      <c r="E95" s="14">
        <v>185000</v>
      </c>
      <c r="F95" s="14">
        <f>+E95*D95</f>
        <v>4162500</v>
      </c>
      <c r="G95" s="9"/>
      <c r="H95" s="10"/>
    </row>
    <row r="96" spans="1:8" s="11" customFormat="1" ht="14.25" x14ac:dyDescent="0.3">
      <c r="A96" s="12"/>
      <c r="B96" s="13" t="s">
        <v>106</v>
      </c>
      <c r="C96" s="10" t="s">
        <v>14</v>
      </c>
      <c r="D96" s="10">
        <v>8</v>
      </c>
      <c r="E96" s="14">
        <v>285000</v>
      </c>
      <c r="F96" s="14">
        <f>+E96*D96</f>
        <v>2280000</v>
      </c>
      <c r="G96" s="9"/>
      <c r="H96" s="10"/>
    </row>
    <row r="97" spans="1:8" s="11" customFormat="1" ht="14.25" x14ac:dyDescent="0.3">
      <c r="A97" s="12"/>
      <c r="B97" s="13" t="s">
        <v>107</v>
      </c>
      <c r="C97" s="10" t="s">
        <v>11</v>
      </c>
      <c r="D97" s="10">
        <v>1</v>
      </c>
      <c r="E97" s="14">
        <v>1350000</v>
      </c>
      <c r="F97" s="14">
        <f>+E97*D97</f>
        <v>1350000</v>
      </c>
      <c r="G97" s="9"/>
      <c r="H97" s="10"/>
    </row>
    <row r="98" spans="1:8" s="11" customFormat="1" ht="14.25" x14ac:dyDescent="0.3">
      <c r="A98" s="12"/>
      <c r="B98" s="13" t="s">
        <v>108</v>
      </c>
      <c r="C98" s="10" t="s">
        <v>11</v>
      </c>
      <c r="D98" s="10">
        <v>1</v>
      </c>
      <c r="E98" s="14">
        <v>645000</v>
      </c>
      <c r="F98" s="14">
        <f>+E98*D98</f>
        <v>645000</v>
      </c>
      <c r="G98" s="9"/>
      <c r="H98" s="10"/>
    </row>
    <row r="99" spans="1:8" s="11" customFormat="1" ht="42.75" x14ac:dyDescent="0.3">
      <c r="A99" s="12"/>
      <c r="B99" s="13" t="s">
        <v>109</v>
      </c>
      <c r="C99" s="10" t="s">
        <v>110</v>
      </c>
      <c r="D99" s="10">
        <v>1</v>
      </c>
      <c r="E99" s="14">
        <v>850000</v>
      </c>
      <c r="F99" s="14">
        <f>+E99*D99</f>
        <v>850000</v>
      </c>
      <c r="G99" s="9"/>
      <c r="H99" s="10"/>
    </row>
    <row r="100" spans="1:8" s="11" customFormat="1" ht="14.25" x14ac:dyDescent="0.3">
      <c r="A100" s="5">
        <v>8</v>
      </c>
      <c r="B100" s="6" t="s">
        <v>111</v>
      </c>
      <c r="C100" s="7"/>
      <c r="D100" s="7"/>
      <c r="E100" s="8"/>
      <c r="F100" s="8"/>
      <c r="G100" s="9"/>
      <c r="H100" s="10"/>
    </row>
    <row r="101" spans="1:8" s="11" customFormat="1" ht="14.25" x14ac:dyDescent="0.3">
      <c r="A101" s="12"/>
      <c r="B101" s="13" t="s">
        <v>112</v>
      </c>
      <c r="C101" s="10" t="s">
        <v>55</v>
      </c>
      <c r="D101" s="10">
        <v>1</v>
      </c>
      <c r="E101" s="14">
        <v>650000</v>
      </c>
      <c r="F101" s="14">
        <f t="shared" ref="F101:F107" si="7">+E101*D101</f>
        <v>650000</v>
      </c>
      <c r="G101" s="9"/>
      <c r="H101" s="10"/>
    </row>
    <row r="102" spans="1:8" s="11" customFormat="1" ht="14.25" x14ac:dyDescent="0.3">
      <c r="A102" s="12"/>
      <c r="B102" s="13" t="s">
        <v>113</v>
      </c>
      <c r="C102" s="10" t="s">
        <v>1</v>
      </c>
      <c r="D102" s="10">
        <f>23.5+0.84+13.8+5.48</f>
        <v>43.620000000000005</v>
      </c>
      <c r="E102" s="14">
        <v>125400</v>
      </c>
      <c r="F102" s="14">
        <f t="shared" si="7"/>
        <v>5469948.0000000009</v>
      </c>
      <c r="G102" s="9"/>
      <c r="H102" s="10"/>
    </row>
    <row r="103" spans="1:8" s="11" customFormat="1" ht="85.5" x14ac:dyDescent="0.3">
      <c r="A103" s="12"/>
      <c r="B103" s="13" t="s">
        <v>114</v>
      </c>
      <c r="C103" s="10" t="s">
        <v>1</v>
      </c>
      <c r="D103" s="10">
        <f>(0.38+0.38+1+0.9+0.46+4.5+4.28+2.68+3.45)*2.4</f>
        <v>43.271999999999998</v>
      </c>
      <c r="E103" s="14">
        <v>625400</v>
      </c>
      <c r="F103" s="14">
        <f t="shared" si="7"/>
        <v>27062308.800000001</v>
      </c>
      <c r="G103" s="9"/>
      <c r="H103" s="10"/>
    </row>
    <row r="104" spans="1:8" s="11" customFormat="1" ht="71.25" x14ac:dyDescent="0.3">
      <c r="A104" s="12"/>
      <c r="B104" s="13" t="s">
        <v>115</v>
      </c>
      <c r="C104" s="10" t="s">
        <v>1</v>
      </c>
      <c r="D104" s="10">
        <f>+(1.5*2.2)</f>
        <v>3.3000000000000003</v>
      </c>
      <c r="E104" s="14"/>
      <c r="F104" s="14">
        <f t="shared" si="7"/>
        <v>0</v>
      </c>
      <c r="G104" s="9"/>
      <c r="H104" s="10"/>
    </row>
    <row r="105" spans="1:8" s="11" customFormat="1" ht="71.25" x14ac:dyDescent="0.3">
      <c r="A105" s="12"/>
      <c r="B105" s="13" t="s">
        <v>116</v>
      </c>
      <c r="C105" s="10" t="s">
        <v>2</v>
      </c>
      <c r="D105" s="10">
        <v>5</v>
      </c>
      <c r="E105" s="14">
        <v>2087660</v>
      </c>
      <c r="F105" s="14">
        <f t="shared" si="7"/>
        <v>10438300</v>
      </c>
      <c r="G105" s="9"/>
      <c r="H105" s="10"/>
    </row>
    <row r="106" spans="1:8" s="11" customFormat="1" ht="14.25" x14ac:dyDescent="0.3">
      <c r="A106" s="12"/>
      <c r="B106" s="13" t="s">
        <v>117</v>
      </c>
      <c r="C106" s="10" t="s">
        <v>2</v>
      </c>
      <c r="D106" s="10">
        <v>1</v>
      </c>
      <c r="E106" s="14"/>
      <c r="F106" s="14">
        <f t="shared" si="7"/>
        <v>0</v>
      </c>
      <c r="G106" s="9"/>
      <c r="H106" s="10"/>
    </row>
    <row r="107" spans="1:8" s="11" customFormat="1" ht="128.25" x14ac:dyDescent="0.3">
      <c r="A107" s="12"/>
      <c r="B107" s="13" t="s">
        <v>118</v>
      </c>
      <c r="C107" s="10" t="s">
        <v>14</v>
      </c>
      <c r="D107" s="10">
        <v>1</v>
      </c>
      <c r="E107" s="14">
        <v>18118912</v>
      </c>
      <c r="F107" s="14">
        <f t="shared" si="7"/>
        <v>18118912</v>
      </c>
      <c r="G107" s="9"/>
      <c r="H107" s="10"/>
    </row>
    <row r="108" spans="1:8" s="11" customFormat="1" ht="14.25" x14ac:dyDescent="0.3">
      <c r="A108" s="5" t="s">
        <v>29</v>
      </c>
      <c r="B108" s="6" t="s">
        <v>25</v>
      </c>
      <c r="C108" s="7"/>
      <c r="D108" s="7"/>
      <c r="E108" s="8"/>
      <c r="F108" s="8"/>
      <c r="G108" s="9"/>
      <c r="H108" s="10"/>
    </row>
    <row r="109" spans="1:8" s="11" customFormat="1" ht="14.25" x14ac:dyDescent="0.3">
      <c r="A109" s="12"/>
      <c r="B109" s="13" t="s">
        <v>119</v>
      </c>
      <c r="C109" s="10" t="s">
        <v>6</v>
      </c>
      <c r="D109" s="10">
        <v>72</v>
      </c>
      <c r="E109" s="14">
        <v>36000</v>
      </c>
      <c r="F109" s="14">
        <f t="shared" ref="F109:F118" si="8">+D109*E109</f>
        <v>2592000</v>
      </c>
      <c r="G109" s="9"/>
      <c r="H109" s="10"/>
    </row>
    <row r="110" spans="1:8" s="11" customFormat="1" ht="14.25" x14ac:dyDescent="0.3">
      <c r="A110" s="12"/>
      <c r="B110" s="13" t="s">
        <v>120</v>
      </c>
      <c r="C110" s="10" t="s">
        <v>1</v>
      </c>
      <c r="D110" s="10">
        <f>+D111</f>
        <v>315.60000000000002</v>
      </c>
      <c r="E110" s="14">
        <v>15600</v>
      </c>
      <c r="F110" s="14">
        <f t="shared" si="8"/>
        <v>4923360</v>
      </c>
      <c r="G110" s="9"/>
      <c r="H110" s="10"/>
    </row>
    <row r="111" spans="1:8" s="11" customFormat="1" ht="14.25" x14ac:dyDescent="0.3">
      <c r="A111" s="12"/>
      <c r="B111" s="13" t="s">
        <v>26</v>
      </c>
      <c r="C111" s="10" t="s">
        <v>1</v>
      </c>
      <c r="D111" s="10">
        <f>105.2*3</f>
        <v>315.60000000000002</v>
      </c>
      <c r="E111" s="14">
        <v>14300</v>
      </c>
      <c r="F111" s="14">
        <f t="shared" si="8"/>
        <v>4513080</v>
      </c>
      <c r="G111" s="9"/>
      <c r="H111" s="10"/>
    </row>
    <row r="112" spans="1:8" s="11" customFormat="1" ht="14.25" x14ac:dyDescent="0.3">
      <c r="A112" s="12"/>
      <c r="B112" s="13" t="s">
        <v>26</v>
      </c>
      <c r="C112" s="10" t="s">
        <v>6</v>
      </c>
      <c r="D112" s="10">
        <f>+D111*0.45</f>
        <v>142.02000000000001</v>
      </c>
      <c r="E112" s="14">
        <v>8580</v>
      </c>
      <c r="F112" s="14">
        <f t="shared" si="8"/>
        <v>1218531.6000000001</v>
      </c>
      <c r="G112" s="9"/>
      <c r="H112" s="10"/>
    </row>
    <row r="113" spans="1:8" s="11" customFormat="1" ht="14.25" x14ac:dyDescent="0.3">
      <c r="A113" s="12"/>
      <c r="B113" s="13" t="s">
        <v>27</v>
      </c>
      <c r="C113" s="10" t="s">
        <v>1</v>
      </c>
      <c r="D113" s="10">
        <f>+D43</f>
        <v>182.25</v>
      </c>
      <c r="E113" s="14">
        <v>14300</v>
      </c>
      <c r="F113" s="14">
        <f t="shared" si="8"/>
        <v>2606175</v>
      </c>
      <c r="G113" s="9"/>
      <c r="H113" s="10"/>
    </row>
    <row r="114" spans="1:8" s="11" customFormat="1" ht="14.25" x14ac:dyDescent="0.3">
      <c r="A114" s="12"/>
      <c r="B114" s="13" t="s">
        <v>121</v>
      </c>
      <c r="C114" s="10" t="s">
        <v>6</v>
      </c>
      <c r="D114" s="10">
        <f>2.8*42</f>
        <v>117.6</v>
      </c>
      <c r="E114" s="14">
        <v>11800</v>
      </c>
      <c r="F114" s="14">
        <f t="shared" si="8"/>
        <v>1387680</v>
      </c>
      <c r="G114" s="9"/>
      <c r="H114" s="10"/>
    </row>
    <row r="115" spans="1:8" s="11" customFormat="1" ht="14.25" x14ac:dyDescent="0.3">
      <c r="A115" s="12"/>
      <c r="B115" s="13" t="s">
        <v>28</v>
      </c>
      <c r="C115" s="10" t="s">
        <v>1</v>
      </c>
      <c r="D115" s="10">
        <v>276</v>
      </c>
      <c r="E115" s="14">
        <v>17500</v>
      </c>
      <c r="F115" s="14">
        <f t="shared" si="8"/>
        <v>4830000</v>
      </c>
      <c r="G115" s="9"/>
      <c r="H115" s="10"/>
    </row>
    <row r="116" spans="1:8" s="11" customFormat="1" ht="14.25" x14ac:dyDescent="0.3">
      <c r="A116" s="12"/>
      <c r="B116" s="13" t="s">
        <v>28</v>
      </c>
      <c r="C116" s="10" t="s">
        <v>6</v>
      </c>
      <c r="D116" s="10">
        <f>+D115*0.7</f>
        <v>193.2</v>
      </c>
      <c r="E116" s="14">
        <v>10500</v>
      </c>
      <c r="F116" s="14">
        <f t="shared" si="8"/>
        <v>2028599.9999999998</v>
      </c>
      <c r="G116" s="9"/>
      <c r="H116" s="10"/>
    </row>
    <row r="117" spans="1:8" s="11" customFormat="1" ht="14.25" x14ac:dyDescent="0.3">
      <c r="A117" s="12"/>
      <c r="B117" s="13" t="s">
        <v>122</v>
      </c>
      <c r="C117" s="10" t="s">
        <v>6</v>
      </c>
      <c r="D117" s="10">
        <f>+D116*0.7</f>
        <v>135.23999999999998</v>
      </c>
      <c r="E117" s="14">
        <v>12800</v>
      </c>
      <c r="F117" s="14">
        <f t="shared" si="8"/>
        <v>1731071.9999999998</v>
      </c>
      <c r="G117" s="9"/>
      <c r="H117" s="10"/>
    </row>
    <row r="118" spans="1:8" s="11" customFormat="1" ht="14.45" customHeight="1" x14ac:dyDescent="0.3">
      <c r="A118" s="12"/>
      <c r="B118" s="13" t="s">
        <v>123</v>
      </c>
      <c r="C118" s="10" t="s">
        <v>6</v>
      </c>
      <c r="D118" s="10">
        <v>55</v>
      </c>
      <c r="E118" s="14">
        <v>16400</v>
      </c>
      <c r="F118" s="14">
        <f t="shared" si="8"/>
        <v>902000</v>
      </c>
      <c r="G118" s="19" t="s">
        <v>124</v>
      </c>
      <c r="H118" s="20"/>
    </row>
  </sheetData>
  <mergeCells count="1">
    <mergeCell ref="G118:H1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2026-06-04T01:22:24Z</dcterms:created>
  <dcterms:modified xsi:type="dcterms:W3CDTF">2026-06-05T03:09:15Z</dcterms:modified>
</cp:coreProperties>
</file>