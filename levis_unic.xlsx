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ownloads\Tesis\"/>
    </mc:Choice>
  </mc:AlternateContent>
  <xr:revisionPtr revIDLastSave="0" documentId="13_ncr:1_{49BC7674-4577-4C0B-BB1E-5019608B2926}" xr6:coauthVersionLast="47" xr6:coauthVersionMax="47" xr10:uidLastSave="{00000000-0000-0000-0000-000000000000}"/>
  <bookViews>
    <workbookView xWindow="-120" yWindow="-120" windowWidth="29040" windowHeight="15720" xr2:uid="{A1447494-2150-4DD4-B0ED-DA2DA9A344A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44" i="1" l="1"/>
  <c r="D43" i="1"/>
  <c r="D40" i="1"/>
  <c r="D33" i="1"/>
  <c r="D27" i="1"/>
  <c r="D26" i="1"/>
  <c r="D24" i="1"/>
  <c r="D19" i="1"/>
  <c r="D16" i="1"/>
  <c r="D15" i="1"/>
  <c r="D14" i="1"/>
  <c r="D13" i="1"/>
  <c r="D11" i="1"/>
  <c r="F61" i="1"/>
  <c r="F60" i="1"/>
  <c r="F59" i="1"/>
  <c r="F55" i="1"/>
  <c r="F54" i="1"/>
  <c r="F53" i="1"/>
  <c r="F52" i="1"/>
  <c r="F51" i="1"/>
  <c r="F50" i="1"/>
  <c r="F49" i="1"/>
  <c r="F48" i="1"/>
  <c r="F47" i="1"/>
  <c r="F46" i="1"/>
  <c r="F45" i="1"/>
  <c r="F41" i="1"/>
  <c r="F39" i="1"/>
  <c r="F37" i="1"/>
  <c r="F36" i="1"/>
  <c r="F35" i="1"/>
  <c r="F34" i="1"/>
  <c r="F32" i="1"/>
  <c r="F31" i="1"/>
  <c r="F30" i="1"/>
  <c r="F29" i="1"/>
  <c r="F18" i="1"/>
  <c r="F17" i="1"/>
  <c r="F10" i="1"/>
  <c r="F9" i="1"/>
  <c r="F8" i="1"/>
  <c r="F6" i="1"/>
  <c r="F5" i="1"/>
  <c r="F4" i="1"/>
  <c r="F3" i="1"/>
  <c r="D38" i="1" l="1"/>
  <c r="D42" i="1" s="1"/>
  <c r="F19" i="1"/>
  <c r="F16" i="1"/>
  <c r="F15" i="1"/>
  <c r="F14" i="1"/>
  <c r="F13" i="1"/>
  <c r="F11" i="1"/>
  <c r="F43" i="1"/>
  <c r="F40" i="1"/>
  <c r="F33" i="1"/>
  <c r="F24" i="1"/>
  <c r="F44" i="1"/>
  <c r="F27" i="1"/>
  <c r="F26" i="1"/>
  <c r="F42" i="1" l="1"/>
  <c r="F38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  <author>win7</author>
  </authors>
  <commentList>
    <comment ref="C1" authorId="0" shapeId="0" xr:uid="{1DBA0F7C-ED0D-4CF7-830E-58D297A62C78}">
      <text>
        <r>
          <rPr>
            <sz val="11"/>
            <color theme="1"/>
            <rFont val="Aptos Narrow"/>
            <family val="2"/>
            <scheme val="minor"/>
          </rPr>
          <t>======
ID#AAAA6spMLhw
Erik Durfay Ricaurte Castillo    (2023-09-25 20:41:48)
Unidad de medida del item a contratar</t>
        </r>
      </text>
    </comment>
    <comment ref="D30" authorId="1" shapeId="0" xr:uid="{78F8D4DE-77C6-491A-900A-5A9796153407}">
      <text>
        <r>
          <rPr>
            <b/>
            <sz val="9"/>
            <color indexed="81"/>
            <rFont val="Tahoma"/>
            <family val="2"/>
          </rPr>
          <t>win7:</t>
        </r>
        <r>
          <rPr>
            <sz val="9"/>
            <color indexed="81"/>
            <rFont val="Tahoma"/>
            <family val="2"/>
          </rPr>
          <t xml:space="preserve">
- 1 Antenta, 4 Fachada, 6 Caja, 1 Bodega, 1 Subwoofer+ 2 Aires</t>
        </r>
      </text>
    </comment>
    <comment ref="D32" authorId="1" shapeId="0" xr:uid="{10ABD933-D0C0-423E-87D5-B7D81D9EBC97}">
      <text>
        <r>
          <rPr>
            <b/>
            <sz val="9"/>
            <color indexed="81"/>
            <rFont val="Tahoma"/>
            <family val="2"/>
          </rPr>
          <t>win7:</t>
        </r>
        <r>
          <rPr>
            <sz val="9"/>
            <color indexed="81"/>
            <rFont val="Tahoma"/>
            <family val="2"/>
          </rPr>
          <t xml:space="preserve">
2 Bodega, 3 Vestier, 3 Pasillo, 1 501, 2 Caja, 2 Entrada, 2 Aviso, 2 Rieles, 2 Emergencia + 3 Cardan</t>
        </r>
      </text>
    </comment>
  </commentList>
</comments>
</file>

<file path=xl/sharedStrings.xml><?xml version="1.0" encoding="utf-8"?>
<sst xmlns="http://schemas.openxmlformats.org/spreadsheetml/2006/main" count="121" uniqueCount="74">
  <si>
    <t>UNIDAD</t>
  </si>
  <si>
    <t>Desmantelamiento de Red Electrica</t>
  </si>
  <si>
    <t>Glb</t>
  </si>
  <si>
    <t>Desmantelamiento de Vitrinas,  Techos, y pisos</t>
  </si>
  <si>
    <t>Desmantelamiento de fachada en vidrio blindado</t>
  </si>
  <si>
    <t>Cerramiento provisional</t>
  </si>
  <si>
    <t>m2</t>
  </si>
  <si>
    <t>PISO</t>
  </si>
  <si>
    <t xml:space="preserve">Instalación de piso en cerámica </t>
  </si>
  <si>
    <t>Preparación Superficie</t>
  </si>
  <si>
    <t>Piso en micro-cemento gris</t>
  </si>
  <si>
    <t>Suministro e instalación de protección para piso en cartón  y cinta</t>
  </si>
  <si>
    <t>Muros</t>
  </si>
  <si>
    <t>Estucado de Muros existentes</t>
  </si>
  <si>
    <t>Suministro e instalación de muro doble cara en Drywall</t>
  </si>
  <si>
    <t>Suministro e instalación lineales en drywall</t>
  </si>
  <si>
    <t>m</t>
  </si>
  <si>
    <t>Suministro e instalación de muro una cara en Drywall</t>
  </si>
  <si>
    <t>Remplazo de lámina de drywall para techo en zona de vestier</t>
  </si>
  <si>
    <t>Tapado de huecos en techo de Drywall</t>
  </si>
  <si>
    <t>Un</t>
  </si>
  <si>
    <t xml:space="preserve">Refuerzos muros drywall para montaje estantería </t>
  </si>
  <si>
    <t>Remate columna Drywall Fachada</t>
  </si>
  <si>
    <t>Retiro de soportes metalicos vestier</t>
  </si>
  <si>
    <t>Cajas de Inspección</t>
  </si>
  <si>
    <t>Fachada</t>
  </si>
  <si>
    <t>Fachada en vidrio templado 10mm con tocetos aluminio</t>
  </si>
  <si>
    <t>PINTURA</t>
  </si>
  <si>
    <t>Pintura vinilo tipo 1  ( 3 manos)</t>
  </si>
  <si>
    <t>Aplicación de pintura en techos</t>
  </si>
  <si>
    <t>REDES ELECTRICAS</t>
  </si>
  <si>
    <t>Adecuación tablero Eléctrico existente</t>
  </si>
  <si>
    <t>Suministro e instalación de salida eléctrica para tomas incluidas antenas y aires acondicionados</t>
  </si>
  <si>
    <t>Suministro e instalación de caja de control para iluminación con interruptor plano.</t>
  </si>
  <si>
    <t>Suministro e instalación para salida eléctrica para iluminación normal en tubería PVC y cable n 12 libre de halógenos.</t>
  </si>
  <si>
    <t>Suministro, armado e instalación de estructura metálica para iluminación tipo chanel ranurado con sus respectivos herrajes con pintura electroestática color blanco satinado.</t>
  </si>
  <si>
    <t>Instalación  de lámparas para empotrar o sobreponer (vestieres 3 pasillo 3, cardan 2)</t>
  </si>
  <si>
    <t>Instalación de lámparas para iluminación tipo reflector</t>
  </si>
  <si>
    <t>Instalacion de lámpara 2 x18 w</t>
  </si>
  <si>
    <t>Instalacion de lámpara tipo burbuja led</t>
  </si>
  <si>
    <t>Instalación de riel para reflectores</t>
  </si>
  <si>
    <t>Instalación Aviso Fachada</t>
  </si>
  <si>
    <t>Suministro Spot tipo riel par 30 12W .  Linea</t>
  </si>
  <si>
    <t>Suministro de cardan 2 luminaris</t>
  </si>
  <si>
    <t>Suministro de rieles para lámpara tipo spot de dos vías, incluye transporte desde Bogotá de 1m</t>
  </si>
  <si>
    <t>Suministro panel led par 30 pasillo vestier</t>
  </si>
  <si>
    <t>Suministro Lampara 2x18 Bodega</t>
  </si>
  <si>
    <t>Suministro lampara filamento Led</t>
  </si>
  <si>
    <t>Suministro lampara emergencia</t>
  </si>
  <si>
    <t>Suministro Aviso levis Fachada</t>
  </si>
  <si>
    <t>Suministro Aviso 501</t>
  </si>
  <si>
    <t>Suministro e instalación de salida para sonido incluye tubería EMT de ¾, con cable guía y cajas.</t>
  </si>
  <si>
    <t>Diseño electrico, planos en autocad firmados por Ing. Calculista para aprobacion de RETIE</t>
  </si>
  <si>
    <t xml:space="preserve">Certificación RETIE </t>
  </si>
  <si>
    <t>Diseño sistema contraincendio</t>
  </si>
  <si>
    <t>Detector de Humo Honeywell o similar</t>
  </si>
  <si>
    <t>Rociador automático</t>
  </si>
  <si>
    <t>Sistema de Monitoreo y Alarma, incluye Panel</t>
  </si>
  <si>
    <t>Aval al diseño e instalación del sistema de rociadores
automáticos para el local 2-253 en el Centro Comercial
Unicentro, en la ciudad de Bogotá.</t>
  </si>
  <si>
    <t>Sensor Magnetico Inhalambrico</t>
  </si>
  <si>
    <t xml:space="preserve">Otros </t>
  </si>
  <si>
    <t xml:space="preserve">Aseo durante la obra (aseo diario) </t>
  </si>
  <si>
    <t>sem</t>
  </si>
  <si>
    <t>Aseo entrega final de obra -para entrega</t>
  </si>
  <si>
    <t>Acompañamiento Diario Montaje Mobiliario y Puesa en Servicio (Incluye Aseo y Remates Generales)</t>
  </si>
  <si>
    <t>Día</t>
  </si>
  <si>
    <t>Edición de Mobiliario</t>
  </si>
  <si>
    <t>PRELIMINARES</t>
  </si>
  <si>
    <t>item</t>
  </si>
  <si>
    <t>descripcion</t>
  </si>
  <si>
    <t>un</t>
  </si>
  <si>
    <t>cant</t>
  </si>
  <si>
    <t>valor_unitario</t>
  </si>
  <si>
    <t>valor_parcial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</si>
</sst>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-&quot;$&quot;* #,##0_-;\-&quot;$&quot;* #,##0_-;_-&quot;$&quot;* &quot;-&quot;??_-;_-@_-"/>
    <numFmt numFmtId="165" formatCode="0_)"/>
    <numFmt numFmtId="166" formatCode="&quot;$&quot;* #,##0.00;&quot;$&quot;* #,##0.00;_(@_)"/>
    <numFmt numFmtId="167" formatCode="_-&quot;$&quot;* #,##0.00_-;\-&quot;$&quot;* #,##0.00_-;_-&quot;$&quot;* &quot;-&quot;??_-;_-@_-"/>
    <numFmt numFmtId="168" formatCode="d&quot; de &quot;mmm&quot; de &quot;yy"/>
    <numFmt numFmtId="170" formatCode="_(* #,##0_);_(* \(#,##0\);_(* \-_);_(@_)"/>
  </numFmts>
  <fonts count="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b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0"/>
      <name val="Courier"/>
      <family val="3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8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2" fillId="0" borderId="0"/>
    <xf numFmtId="165" fontId="5" fillId="0" borderId="0"/>
  </cellStyleXfs>
  <cellXfs count="29">
    <xf numFmtId="0" fontId="0" fillId="0" borderId="0" xfId="0"/>
    <xf numFmtId="0" fontId="3" fillId="0" borderId="1" xfId="3" applyFont="1" applyBorder="1" applyAlignment="1">
      <alignment horizontal="justify" vertical="center"/>
    </xf>
    <xf numFmtId="0" fontId="3" fillId="0" borderId="1" xfId="3" applyFont="1" applyBorder="1" applyAlignment="1">
      <alignment horizontal="left" vertical="center" wrapText="1"/>
    </xf>
    <xf numFmtId="0" fontId="4" fillId="0" borderId="1" xfId="3" applyFont="1" applyBorder="1" applyAlignment="1">
      <alignment horizontal="center" vertical="center"/>
    </xf>
    <xf numFmtId="164" fontId="4" fillId="0" borderId="1" xfId="3" applyNumberFormat="1" applyFont="1" applyBorder="1" applyAlignment="1">
      <alignment horizontal="right" vertical="center"/>
    </xf>
    <xf numFmtId="2" fontId="4" fillId="0" borderId="1" xfId="1" applyNumberFormat="1" applyFont="1" applyFill="1" applyBorder="1" applyAlignment="1">
      <alignment horizontal="center" vertical="center"/>
    </xf>
    <xf numFmtId="166" fontId="3" fillId="0" borderId="1" xfId="4" applyNumberFormat="1" applyFont="1" applyBorder="1" applyAlignment="1">
      <alignment vertical="center"/>
    </xf>
    <xf numFmtId="0" fontId="4" fillId="0" borderId="1" xfId="3" applyFont="1" applyBorder="1" applyAlignment="1">
      <alignment horizontal="justify" vertical="center"/>
    </xf>
    <xf numFmtId="0" fontId="4" fillId="0" borderId="1" xfId="3" applyFont="1" applyBorder="1" applyAlignment="1">
      <alignment horizontal="left" vertical="center" wrapText="1"/>
    </xf>
    <xf numFmtId="167" fontId="4" fillId="0" borderId="1" xfId="4" applyNumberFormat="1" applyFont="1" applyBorder="1" applyAlignment="1">
      <alignment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vertical="center" wrapText="1"/>
    </xf>
    <xf numFmtId="164" fontId="3" fillId="0" borderId="1" xfId="4" applyNumberFormat="1" applyFont="1" applyBorder="1" applyAlignment="1">
      <alignment vertical="center"/>
    </xf>
    <xf numFmtId="0" fontId="3" fillId="0" borderId="1" xfId="0" applyFont="1" applyBorder="1" applyAlignment="1">
      <alignment vertical="center" wrapText="1"/>
    </xf>
    <xf numFmtId="167" fontId="3" fillId="0" borderId="1" xfId="4" applyNumberFormat="1" applyFont="1" applyBorder="1" applyAlignment="1">
      <alignment vertical="center"/>
    </xf>
    <xf numFmtId="0" fontId="4" fillId="0" borderId="2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center" vertical="center"/>
    </xf>
    <xf numFmtId="2" fontId="4" fillId="0" borderId="2" xfId="1" applyNumberFormat="1" applyFont="1" applyFill="1" applyBorder="1" applyAlignment="1">
      <alignment horizontal="center" vertical="center"/>
    </xf>
    <xf numFmtId="44" fontId="4" fillId="0" borderId="1" xfId="2" applyFont="1" applyBorder="1" applyAlignment="1">
      <alignment horizontal="right" vertical="center"/>
    </xf>
    <xf numFmtId="0" fontId="4" fillId="0" borderId="3" xfId="0" applyFont="1" applyBorder="1" applyAlignment="1">
      <alignment vertical="center" wrapText="1"/>
    </xf>
    <xf numFmtId="44" fontId="4" fillId="0" borderId="3" xfId="2" applyFont="1" applyBorder="1" applyAlignment="1">
      <alignment horizontal="right" vertical="center"/>
    </xf>
    <xf numFmtId="2" fontId="4" fillId="0" borderId="3" xfId="1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right" vertical="center"/>
    </xf>
    <xf numFmtId="0" fontId="4" fillId="0" borderId="1" xfId="0" applyFont="1" applyBorder="1" applyAlignment="1">
      <alignment horizontal="left" vertical="center" wrapText="1"/>
    </xf>
    <xf numFmtId="49" fontId="8" fillId="2" borderId="4" xfId="0" applyNumberFormat="1" applyFont="1" applyFill="1" applyBorder="1" applyAlignment="1">
      <alignment vertical="center"/>
    </xf>
    <xf numFmtId="168" fontId="8" fillId="2" borderId="1" xfId="0" applyNumberFormat="1" applyFont="1" applyFill="1" applyBorder="1" applyAlignment="1">
      <alignment vertical="center" wrapText="1"/>
    </xf>
    <xf numFmtId="49" fontId="8" fillId="2" borderId="1" xfId="0" applyNumberFormat="1" applyFont="1" applyFill="1" applyBorder="1" applyAlignment="1">
      <alignment horizontal="center" vertical="center"/>
    </xf>
    <xf numFmtId="170" fontId="8" fillId="2" borderId="1" xfId="0" applyNumberFormat="1" applyFont="1" applyFill="1" applyBorder="1" applyAlignment="1">
      <alignment horizontal="center" vertical="center"/>
    </xf>
    <xf numFmtId="3" fontId="8" fillId="2" borderId="1" xfId="0" applyNumberFormat="1" applyFont="1" applyFill="1" applyBorder="1" applyAlignment="1">
      <alignment horizontal="center" vertical="center"/>
    </xf>
  </cellXfs>
  <cellStyles count="5">
    <cellStyle name="Millares" xfId="1" builtinId="3"/>
    <cellStyle name="Moneda" xfId="2" builtinId="4"/>
    <cellStyle name="Normal" xfId="0" builtinId="0"/>
    <cellStyle name="Normal 2" xfId="3" xr:uid="{9453DB16-1DC4-4DCE-8335-8D3B1E67B775}"/>
    <cellStyle name="Normal_LISTA S.E.D" xfId="4" xr:uid="{FAA65401-2390-4E65-A772-DD585A62F7E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193C27-CCD5-4A94-B188-C7C0FC225F1A}">
  <dimension ref="A1:F62"/>
  <sheetViews>
    <sheetView tabSelected="1" workbookViewId="0">
      <selection activeCell="H1" sqref="H1:H1048576"/>
    </sheetView>
  </sheetViews>
  <sheetFormatPr baseColWidth="10" defaultColWidth="17.140625" defaultRowHeight="15" x14ac:dyDescent="0.25"/>
  <sheetData>
    <row r="1" spans="1:6" x14ac:dyDescent="0.25">
      <c r="A1" s="24" t="s">
        <v>68</v>
      </c>
      <c r="B1" s="25" t="s">
        <v>69</v>
      </c>
      <c r="C1" s="26" t="s">
        <v>70</v>
      </c>
      <c r="D1" s="27" t="s">
        <v>71</v>
      </c>
      <c r="E1" s="27" t="s">
        <v>72</v>
      </c>
      <c r="F1" s="28" t="s">
        <v>73</v>
      </c>
    </row>
    <row r="2" spans="1:6" x14ac:dyDescent="0.25">
      <c r="A2" s="1">
        <v>1</v>
      </c>
      <c r="B2" s="2" t="s">
        <v>67</v>
      </c>
      <c r="C2" s="3"/>
      <c r="D2" s="5"/>
      <c r="E2" s="4"/>
      <c r="F2" s="6"/>
    </row>
    <row r="3" spans="1:6" ht="40.5" customHeight="1" x14ac:dyDescent="0.25">
      <c r="A3" s="7"/>
      <c r="B3" s="8" t="s">
        <v>1</v>
      </c>
      <c r="C3" s="3" t="s">
        <v>2</v>
      </c>
      <c r="D3" s="5">
        <v>1</v>
      </c>
      <c r="E3" s="4">
        <v>1000000</v>
      </c>
      <c r="F3" s="9">
        <f>D3*E3</f>
        <v>1000000</v>
      </c>
    </row>
    <row r="4" spans="1:6" ht="40.5" x14ac:dyDescent="0.25">
      <c r="A4" s="7"/>
      <c r="B4" s="8" t="s">
        <v>3</v>
      </c>
      <c r="C4" s="3" t="s">
        <v>2</v>
      </c>
      <c r="D4" s="5">
        <v>1</v>
      </c>
      <c r="E4" s="4">
        <v>4900000</v>
      </c>
      <c r="F4" s="9">
        <f>D4*E4</f>
        <v>4900000</v>
      </c>
    </row>
    <row r="5" spans="1:6" ht="40.5" x14ac:dyDescent="0.25">
      <c r="A5" s="7"/>
      <c r="B5" s="8" t="s">
        <v>4</v>
      </c>
      <c r="C5" s="3" t="s">
        <v>2</v>
      </c>
      <c r="D5" s="5">
        <v>1</v>
      </c>
      <c r="E5" s="4">
        <v>1200000</v>
      </c>
      <c r="F5" s="9">
        <f>D5*E5</f>
        <v>1200000</v>
      </c>
    </row>
    <row r="6" spans="1:6" ht="27" x14ac:dyDescent="0.25">
      <c r="A6" s="7"/>
      <c r="B6" s="8" t="s">
        <v>5</v>
      </c>
      <c r="C6" s="3" t="s">
        <v>6</v>
      </c>
      <c r="E6" s="4">
        <v>40000</v>
      </c>
      <c r="F6" s="9">
        <f>D6*E6</f>
        <v>0</v>
      </c>
    </row>
    <row r="7" spans="1:6" x14ac:dyDescent="0.25">
      <c r="A7" s="1">
        <v>2</v>
      </c>
      <c r="B7" s="2" t="s">
        <v>7</v>
      </c>
      <c r="C7" s="3"/>
      <c r="D7" s="5"/>
      <c r="E7" s="4"/>
      <c r="F7" s="9"/>
    </row>
    <row r="8" spans="1:6" ht="27" x14ac:dyDescent="0.25">
      <c r="A8" s="7"/>
      <c r="B8" s="8" t="s">
        <v>8</v>
      </c>
      <c r="C8" s="3" t="s">
        <v>6</v>
      </c>
      <c r="D8" s="5">
        <v>70</v>
      </c>
      <c r="E8" s="4">
        <v>34000</v>
      </c>
      <c r="F8" s="9">
        <f>D8*E8</f>
        <v>2380000</v>
      </c>
    </row>
    <row r="9" spans="1:6" ht="27" x14ac:dyDescent="0.25">
      <c r="A9" s="7"/>
      <c r="B9" s="8" t="s">
        <v>9</v>
      </c>
      <c r="C9" s="10" t="s">
        <v>6</v>
      </c>
      <c r="D9" s="5">
        <v>70</v>
      </c>
      <c r="E9" s="4">
        <v>13440</v>
      </c>
      <c r="F9" s="9">
        <f>D9*E9</f>
        <v>940800</v>
      </c>
    </row>
    <row r="10" spans="1:6" ht="27" x14ac:dyDescent="0.25">
      <c r="A10" s="7"/>
      <c r="B10" s="8" t="s">
        <v>10</v>
      </c>
      <c r="C10" s="10" t="s">
        <v>6</v>
      </c>
      <c r="D10" s="5">
        <v>70</v>
      </c>
      <c r="E10" s="4">
        <v>132600</v>
      </c>
      <c r="F10" s="9">
        <f>D10*E10</f>
        <v>9282000</v>
      </c>
    </row>
    <row r="11" spans="1:6" ht="67.5" customHeight="1" x14ac:dyDescent="0.25">
      <c r="A11" s="7"/>
      <c r="B11" s="11" t="s">
        <v>11</v>
      </c>
      <c r="C11" s="10" t="s">
        <v>6</v>
      </c>
      <c r="D11" s="5">
        <f>D9</f>
        <v>70</v>
      </c>
      <c r="E11" s="4">
        <v>3100</v>
      </c>
      <c r="F11" s="9">
        <f>D11*E11</f>
        <v>217000</v>
      </c>
    </row>
    <row r="12" spans="1:6" x14ac:dyDescent="0.25">
      <c r="A12" s="1">
        <v>3</v>
      </c>
      <c r="B12" s="2" t="s">
        <v>12</v>
      </c>
      <c r="C12" s="3"/>
      <c r="D12" s="5"/>
      <c r="E12" s="4"/>
      <c r="F12" s="12"/>
    </row>
    <row r="13" spans="1:6" ht="27" x14ac:dyDescent="0.25">
      <c r="A13" s="7"/>
      <c r="B13" s="8" t="s">
        <v>13</v>
      </c>
      <c r="C13" s="3" t="s">
        <v>6</v>
      </c>
      <c r="D13" s="5">
        <f>(8.81)*5.5+(9.92+12)*2.5</f>
        <v>103.25500000000001</v>
      </c>
      <c r="E13" s="4">
        <v>13000</v>
      </c>
      <c r="F13" s="9">
        <f t="shared" ref="F13:F19" si="0">D13*E13</f>
        <v>1342315.0000000002</v>
      </c>
    </row>
    <row r="14" spans="1:6" ht="54" customHeight="1" x14ac:dyDescent="0.25">
      <c r="A14" s="7"/>
      <c r="B14" s="11" t="s">
        <v>14</v>
      </c>
      <c r="C14" s="10" t="s">
        <v>6</v>
      </c>
      <c r="D14" s="5">
        <f>ROUNDUP((3.4+1.1+1.1+1.1)*2.5,0)</f>
        <v>17</v>
      </c>
      <c r="E14" s="4">
        <v>69000</v>
      </c>
      <c r="F14" s="9">
        <f t="shared" si="0"/>
        <v>1173000</v>
      </c>
    </row>
    <row r="15" spans="1:6" ht="54" customHeight="1" x14ac:dyDescent="0.25">
      <c r="A15" s="7"/>
      <c r="B15" s="11" t="s">
        <v>15</v>
      </c>
      <c r="C15" s="10" t="s">
        <v>16</v>
      </c>
      <c r="D15" s="5">
        <f>ROUNDUP(12*2.1+17*2.5+4*0.75*3+2*0.84*3,0)+8.5</f>
        <v>90.5</v>
      </c>
      <c r="E15" s="4">
        <v>41400</v>
      </c>
      <c r="F15" s="9">
        <f t="shared" si="0"/>
        <v>3746700</v>
      </c>
    </row>
    <row r="16" spans="1:6" ht="54" customHeight="1" x14ac:dyDescent="0.25">
      <c r="A16" s="7"/>
      <c r="B16" s="11" t="s">
        <v>17</v>
      </c>
      <c r="C16" s="10" t="s">
        <v>6</v>
      </c>
      <c r="D16" s="5">
        <f>(5.5-4.25)*5.2</f>
        <v>6.5</v>
      </c>
      <c r="E16" s="4">
        <v>55200</v>
      </c>
      <c r="F16" s="9">
        <f t="shared" si="0"/>
        <v>358800</v>
      </c>
    </row>
    <row r="17" spans="1:6" ht="54" customHeight="1" x14ac:dyDescent="0.25">
      <c r="A17" s="7"/>
      <c r="B17" s="11" t="s">
        <v>18</v>
      </c>
      <c r="C17" s="10" t="s">
        <v>6</v>
      </c>
      <c r="D17" s="5">
        <v>20</v>
      </c>
      <c r="E17" s="4">
        <v>30510</v>
      </c>
      <c r="F17" s="9">
        <f t="shared" si="0"/>
        <v>610200</v>
      </c>
    </row>
    <row r="18" spans="1:6" ht="40.5" customHeight="1" x14ac:dyDescent="0.25">
      <c r="A18" s="7"/>
      <c r="B18" s="11" t="s">
        <v>19</v>
      </c>
      <c r="C18" s="10" t="s">
        <v>20</v>
      </c>
      <c r="D18" s="5">
        <v>19</v>
      </c>
      <c r="E18" s="4">
        <v>75000</v>
      </c>
      <c r="F18" s="9">
        <f t="shared" si="0"/>
        <v>1425000</v>
      </c>
    </row>
    <row r="19" spans="1:6" ht="54" customHeight="1" x14ac:dyDescent="0.25">
      <c r="A19" s="7"/>
      <c r="B19" s="8" t="s">
        <v>21</v>
      </c>
      <c r="C19" s="3" t="s">
        <v>16</v>
      </c>
      <c r="D19" s="5">
        <f>5*1.1+3.4</f>
        <v>8.9</v>
      </c>
      <c r="E19" s="4">
        <v>25000</v>
      </c>
      <c r="F19" s="9">
        <f t="shared" si="0"/>
        <v>222500</v>
      </c>
    </row>
    <row r="20" spans="1:6" ht="27" x14ac:dyDescent="0.25">
      <c r="A20" s="7"/>
      <c r="B20" s="8" t="s">
        <v>22</v>
      </c>
      <c r="C20" s="3" t="s">
        <v>20</v>
      </c>
      <c r="D20" s="5"/>
      <c r="E20" s="4">
        <v>280000</v>
      </c>
      <c r="F20" s="9"/>
    </row>
    <row r="21" spans="1:6" ht="40.5" customHeight="1" x14ac:dyDescent="0.25">
      <c r="A21" s="7"/>
      <c r="B21" s="8" t="s">
        <v>23</v>
      </c>
      <c r="C21" s="3" t="s">
        <v>20</v>
      </c>
      <c r="D21" s="5"/>
      <c r="E21" s="4">
        <v>120000</v>
      </c>
      <c r="F21" s="9"/>
    </row>
    <row r="22" spans="1:6" ht="27" customHeight="1" x14ac:dyDescent="0.25">
      <c r="A22" s="7"/>
      <c r="B22" s="8" t="s">
        <v>24</v>
      </c>
      <c r="C22" s="3" t="s">
        <v>20</v>
      </c>
      <c r="D22" s="5"/>
      <c r="E22" s="4">
        <v>120000</v>
      </c>
      <c r="F22" s="9"/>
    </row>
    <row r="23" spans="1:6" x14ac:dyDescent="0.25">
      <c r="A23" s="1">
        <v>4</v>
      </c>
      <c r="B23" s="13" t="s">
        <v>25</v>
      </c>
      <c r="C23" s="10"/>
      <c r="D23" s="5"/>
      <c r="E23" s="4"/>
      <c r="F23" s="9"/>
    </row>
    <row r="24" spans="1:6" ht="54" customHeight="1" x14ac:dyDescent="0.25">
      <c r="A24" s="7"/>
      <c r="B24" s="11" t="s">
        <v>26</v>
      </c>
      <c r="C24" s="10" t="s">
        <v>6</v>
      </c>
      <c r="D24" s="5">
        <f>5.2*4.25</f>
        <v>22.1</v>
      </c>
      <c r="E24" s="4">
        <v>328400</v>
      </c>
      <c r="F24" s="9">
        <f>D24*E24</f>
        <v>7257640.0000000009</v>
      </c>
    </row>
    <row r="25" spans="1:6" x14ac:dyDescent="0.25">
      <c r="A25" s="1">
        <v>5</v>
      </c>
      <c r="B25" s="2" t="s">
        <v>27</v>
      </c>
      <c r="C25" s="3"/>
      <c r="D25" s="5"/>
      <c r="E25" s="4"/>
      <c r="F25" s="14"/>
    </row>
    <row r="26" spans="1:6" ht="27" x14ac:dyDescent="0.25">
      <c r="A26" s="7"/>
      <c r="B26" s="8" t="s">
        <v>28</v>
      </c>
      <c r="C26" s="3" t="s">
        <v>6</v>
      </c>
      <c r="D26" s="5">
        <f>ROUNDUP(((8.42*2.5)-0.84*2*2.1)+(12.86*2.5-0.75*2.1*3-0.84*2.1*2)+(4.765*2.5*2+4.865*2.5-0.75*3*2.1-0.7*2.1)+(7*2.5-0.7*2.1)+(8.485+8.81)*5.5+(5.53*(5.5-2.5))+5.53*(5.5-4.25),0)</f>
        <v>206</v>
      </c>
      <c r="E26" s="4">
        <v>12800</v>
      </c>
      <c r="F26" s="9">
        <f>D26*E26</f>
        <v>2636800</v>
      </c>
    </row>
    <row r="27" spans="1:6" ht="27" x14ac:dyDescent="0.25">
      <c r="A27" s="7"/>
      <c r="B27" s="8" t="s">
        <v>29</v>
      </c>
      <c r="C27" s="3" t="s">
        <v>6</v>
      </c>
      <c r="D27" s="5">
        <f>D8+12*6*1.2*4*(5.5-5.5)</f>
        <v>70</v>
      </c>
      <c r="E27" s="4">
        <v>13500</v>
      </c>
      <c r="F27" s="9">
        <f>D27*E27</f>
        <v>945000</v>
      </c>
    </row>
    <row r="28" spans="1:6" ht="27" customHeight="1" x14ac:dyDescent="0.25">
      <c r="A28" s="1">
        <v>6</v>
      </c>
      <c r="B28" s="2" t="s">
        <v>30</v>
      </c>
      <c r="C28" s="3"/>
      <c r="D28" s="5"/>
      <c r="E28" s="4"/>
      <c r="F28" s="14"/>
    </row>
    <row r="29" spans="1:6" ht="40.5" customHeight="1" x14ac:dyDescent="0.25">
      <c r="A29" s="7"/>
      <c r="B29" s="15" t="s">
        <v>31</v>
      </c>
      <c r="C29" s="16" t="s">
        <v>0</v>
      </c>
      <c r="D29" s="17">
        <v>1</v>
      </c>
      <c r="E29" s="4">
        <v>680000</v>
      </c>
      <c r="F29" s="9">
        <f>D29*E29</f>
        <v>680000</v>
      </c>
    </row>
    <row r="30" spans="1:6" ht="94.5" customHeight="1" x14ac:dyDescent="0.25">
      <c r="A30" s="7"/>
      <c r="B30" s="11" t="s">
        <v>32</v>
      </c>
      <c r="C30" s="10" t="s">
        <v>20</v>
      </c>
      <c r="D30" s="5">
        <v>15</v>
      </c>
      <c r="E30" s="18">
        <v>133860</v>
      </c>
      <c r="F30" s="9">
        <f>D30*E30</f>
        <v>2007900</v>
      </c>
    </row>
    <row r="31" spans="1:6" ht="81" customHeight="1" x14ac:dyDescent="0.25">
      <c r="A31" s="7"/>
      <c r="B31" s="11" t="s">
        <v>33</v>
      </c>
      <c r="C31" s="10" t="s">
        <v>20</v>
      </c>
      <c r="D31" s="5">
        <v>1</v>
      </c>
      <c r="E31" s="18">
        <v>480000</v>
      </c>
      <c r="F31" s="9">
        <f>D31*E31</f>
        <v>480000</v>
      </c>
    </row>
    <row r="32" spans="1:6" ht="108" customHeight="1" x14ac:dyDescent="0.25">
      <c r="A32" s="7"/>
      <c r="B32" s="11" t="s">
        <v>34</v>
      </c>
      <c r="C32" s="10" t="s">
        <v>20</v>
      </c>
      <c r="D32" s="5">
        <v>21</v>
      </c>
      <c r="E32" s="18">
        <v>125349.99999999999</v>
      </c>
      <c r="F32" s="9">
        <f t="shared" ref="F32:F55" si="1">D32*E32</f>
        <v>2632349.9999999995</v>
      </c>
    </row>
    <row r="33" spans="1:6" ht="189" customHeight="1" x14ac:dyDescent="0.25">
      <c r="A33" s="7"/>
      <c r="B33" s="11" t="s">
        <v>35</v>
      </c>
      <c r="C33" s="10" t="s">
        <v>16</v>
      </c>
      <c r="D33" s="5">
        <f>7.4*2+3.15*3</f>
        <v>24.25</v>
      </c>
      <c r="E33" s="18">
        <v>48700</v>
      </c>
      <c r="F33" s="9">
        <f t="shared" si="1"/>
        <v>1180975</v>
      </c>
    </row>
    <row r="34" spans="1:6" ht="94.5" customHeight="1" x14ac:dyDescent="0.25">
      <c r="A34" s="7"/>
      <c r="B34" s="11" t="s">
        <v>36</v>
      </c>
      <c r="C34" s="10" t="s">
        <v>20</v>
      </c>
      <c r="D34" s="5">
        <v>8</v>
      </c>
      <c r="E34" s="18">
        <v>16000</v>
      </c>
      <c r="F34" s="9">
        <f t="shared" si="1"/>
        <v>128000</v>
      </c>
    </row>
    <row r="35" spans="1:6" ht="54" x14ac:dyDescent="0.25">
      <c r="A35" s="7"/>
      <c r="B35" s="11" t="s">
        <v>37</v>
      </c>
      <c r="C35" s="10" t="s">
        <v>20</v>
      </c>
      <c r="D35" s="5">
        <v>48</v>
      </c>
      <c r="E35" s="18">
        <v>8700</v>
      </c>
      <c r="F35" s="9">
        <f t="shared" si="1"/>
        <v>417600</v>
      </c>
    </row>
    <row r="36" spans="1:6" ht="27" x14ac:dyDescent="0.25">
      <c r="A36" s="7"/>
      <c r="B36" s="11" t="s">
        <v>38</v>
      </c>
      <c r="C36" s="10" t="s">
        <v>20</v>
      </c>
      <c r="D36" s="5">
        <v>2</v>
      </c>
      <c r="E36" s="18">
        <v>16000</v>
      </c>
      <c r="F36" s="9">
        <f t="shared" si="1"/>
        <v>32000</v>
      </c>
    </row>
    <row r="37" spans="1:6" ht="40.5" x14ac:dyDescent="0.25">
      <c r="A37" s="7"/>
      <c r="B37" s="11" t="s">
        <v>39</v>
      </c>
      <c r="C37" s="10" t="s">
        <v>20</v>
      </c>
      <c r="D37" s="5">
        <v>2</v>
      </c>
      <c r="E37" s="18">
        <v>16000</v>
      </c>
      <c r="F37" s="9">
        <f t="shared" si="1"/>
        <v>32000</v>
      </c>
    </row>
    <row r="38" spans="1:6" ht="27" x14ac:dyDescent="0.25">
      <c r="A38" s="7"/>
      <c r="B38" s="11" t="s">
        <v>40</v>
      </c>
      <c r="C38" s="10" t="s">
        <v>20</v>
      </c>
      <c r="D38" s="5">
        <f>D33</f>
        <v>24.25</v>
      </c>
      <c r="E38" s="18">
        <v>13100</v>
      </c>
      <c r="F38" s="9">
        <f t="shared" si="1"/>
        <v>317675</v>
      </c>
    </row>
    <row r="39" spans="1:6" ht="27" x14ac:dyDescent="0.25">
      <c r="A39" s="7"/>
      <c r="B39" s="19" t="s">
        <v>41</v>
      </c>
      <c r="C39" s="10" t="s">
        <v>20</v>
      </c>
      <c r="D39" s="21">
        <v>1</v>
      </c>
      <c r="E39" s="20">
        <v>235000</v>
      </c>
      <c r="F39" s="9">
        <f t="shared" si="1"/>
        <v>235000</v>
      </c>
    </row>
    <row r="40" spans="1:6" ht="40.5" x14ac:dyDescent="0.25">
      <c r="A40" s="7"/>
      <c r="B40" s="11" t="s">
        <v>42</v>
      </c>
      <c r="C40" s="10" t="s">
        <v>20</v>
      </c>
      <c r="D40" s="5">
        <f>D35</f>
        <v>48</v>
      </c>
      <c r="E40" s="4">
        <v>68000</v>
      </c>
      <c r="F40" s="9">
        <f t="shared" si="1"/>
        <v>3264000</v>
      </c>
    </row>
    <row r="41" spans="1:6" ht="40.5" customHeight="1" x14ac:dyDescent="0.25">
      <c r="A41" s="7"/>
      <c r="B41" s="11" t="s">
        <v>43</v>
      </c>
      <c r="C41" s="10" t="s">
        <v>20</v>
      </c>
      <c r="D41" s="5">
        <v>3</v>
      </c>
      <c r="E41" s="4">
        <v>368000</v>
      </c>
      <c r="F41" s="9">
        <f t="shared" si="1"/>
        <v>1104000</v>
      </c>
    </row>
    <row r="42" spans="1:6" ht="94.5" customHeight="1" x14ac:dyDescent="0.25">
      <c r="A42" s="7"/>
      <c r="B42" s="11" t="s">
        <v>44</v>
      </c>
      <c r="C42" s="10" t="s">
        <v>16</v>
      </c>
      <c r="D42" s="5">
        <f>D38</f>
        <v>24.25</v>
      </c>
      <c r="E42" s="4">
        <v>37900</v>
      </c>
      <c r="F42" s="9">
        <f t="shared" si="1"/>
        <v>919075</v>
      </c>
    </row>
    <row r="43" spans="1:6" ht="40.5" customHeight="1" x14ac:dyDescent="0.25">
      <c r="A43" s="7"/>
      <c r="B43" s="11" t="s">
        <v>45</v>
      </c>
      <c r="C43" s="10" t="s">
        <v>20</v>
      </c>
      <c r="D43" s="5">
        <f>D34</f>
        <v>8</v>
      </c>
      <c r="E43" s="4">
        <v>22000</v>
      </c>
      <c r="F43" s="9">
        <f t="shared" si="1"/>
        <v>176000</v>
      </c>
    </row>
    <row r="44" spans="1:6" ht="40.5" customHeight="1" x14ac:dyDescent="0.25">
      <c r="A44" s="7"/>
      <c r="B44" s="11" t="s">
        <v>46</v>
      </c>
      <c r="C44" s="10" t="s">
        <v>20</v>
      </c>
      <c r="D44" s="5">
        <f>D36</f>
        <v>2</v>
      </c>
      <c r="E44" s="4">
        <v>70000</v>
      </c>
      <c r="F44" s="9">
        <f t="shared" si="1"/>
        <v>140000</v>
      </c>
    </row>
    <row r="45" spans="1:6" ht="40.5" customHeight="1" x14ac:dyDescent="0.25">
      <c r="A45" s="7"/>
      <c r="B45" s="19" t="s">
        <v>47</v>
      </c>
      <c r="C45" s="10" t="s">
        <v>20</v>
      </c>
      <c r="D45" s="5">
        <v>2</v>
      </c>
      <c r="E45" s="4">
        <v>98000</v>
      </c>
      <c r="F45" s="9">
        <f t="shared" si="1"/>
        <v>196000</v>
      </c>
    </row>
    <row r="46" spans="1:6" ht="40.5" customHeight="1" x14ac:dyDescent="0.25">
      <c r="A46" s="7"/>
      <c r="B46" s="19" t="s">
        <v>48</v>
      </c>
      <c r="C46" s="10" t="s">
        <v>20</v>
      </c>
      <c r="D46" s="5">
        <v>2</v>
      </c>
      <c r="E46" s="4">
        <v>93000</v>
      </c>
      <c r="F46" s="9">
        <f t="shared" si="1"/>
        <v>186000</v>
      </c>
    </row>
    <row r="47" spans="1:6" ht="27" x14ac:dyDescent="0.25">
      <c r="A47" s="7"/>
      <c r="B47" s="19" t="s">
        <v>49</v>
      </c>
      <c r="C47" s="10" t="s">
        <v>20</v>
      </c>
      <c r="D47" s="5">
        <v>1</v>
      </c>
      <c r="E47" s="4">
        <v>2050000</v>
      </c>
      <c r="F47" s="9">
        <f t="shared" si="1"/>
        <v>2050000</v>
      </c>
    </row>
    <row r="48" spans="1:6" ht="27" customHeight="1" x14ac:dyDescent="0.25">
      <c r="A48" s="7"/>
      <c r="B48" s="19" t="s">
        <v>50</v>
      </c>
      <c r="C48" s="10" t="s">
        <v>20</v>
      </c>
      <c r="D48" s="5">
        <v>1</v>
      </c>
      <c r="E48" s="4">
        <v>950000</v>
      </c>
      <c r="F48" s="9">
        <f t="shared" si="1"/>
        <v>950000</v>
      </c>
    </row>
    <row r="49" spans="1:6" ht="94.5" customHeight="1" x14ac:dyDescent="0.25">
      <c r="A49" s="7"/>
      <c r="B49" s="11" t="s">
        <v>51</v>
      </c>
      <c r="C49" s="10" t="s">
        <v>20</v>
      </c>
      <c r="D49" s="5">
        <v>6</v>
      </c>
      <c r="E49" s="4">
        <v>128000</v>
      </c>
      <c r="F49" s="9">
        <f t="shared" si="1"/>
        <v>768000</v>
      </c>
    </row>
    <row r="50" spans="1:6" ht="94.5" customHeight="1" x14ac:dyDescent="0.25">
      <c r="A50" s="7"/>
      <c r="B50" s="8" t="s">
        <v>52</v>
      </c>
      <c r="C50" s="3" t="s">
        <v>2</v>
      </c>
      <c r="D50" s="5">
        <v>1</v>
      </c>
      <c r="E50" s="4">
        <v>1637600</v>
      </c>
      <c r="F50" s="9">
        <f t="shared" si="1"/>
        <v>1637600</v>
      </c>
    </row>
    <row r="51" spans="1:6" ht="27" customHeight="1" x14ac:dyDescent="0.25">
      <c r="A51" s="7"/>
      <c r="B51" s="8" t="s">
        <v>53</v>
      </c>
      <c r="C51" s="3" t="s">
        <v>2</v>
      </c>
      <c r="D51" s="5"/>
      <c r="E51" s="4">
        <v>950000</v>
      </c>
      <c r="F51" s="9">
        <f t="shared" si="1"/>
        <v>0</v>
      </c>
    </row>
    <row r="52" spans="1:6" ht="27" x14ac:dyDescent="0.25">
      <c r="A52" s="7"/>
      <c r="B52" s="8" t="s">
        <v>54</v>
      </c>
      <c r="C52" s="3" t="s">
        <v>2</v>
      </c>
      <c r="D52" s="5">
        <v>1</v>
      </c>
      <c r="E52" s="4">
        <v>950000</v>
      </c>
      <c r="F52" s="9">
        <f t="shared" si="1"/>
        <v>950000</v>
      </c>
    </row>
    <row r="53" spans="1:6" ht="40.5" customHeight="1" x14ac:dyDescent="0.25">
      <c r="A53" s="7"/>
      <c r="B53" s="8" t="s">
        <v>55</v>
      </c>
      <c r="C53" s="3" t="s">
        <v>20</v>
      </c>
      <c r="D53" s="5">
        <v>8</v>
      </c>
      <c r="E53" s="4">
        <v>385000</v>
      </c>
      <c r="F53" s="9">
        <f t="shared" si="1"/>
        <v>3080000</v>
      </c>
    </row>
    <row r="54" spans="1:6" ht="27" customHeight="1" x14ac:dyDescent="0.25">
      <c r="A54" s="7"/>
      <c r="B54" s="8" t="s">
        <v>56</v>
      </c>
      <c r="C54" s="3" t="s">
        <v>20</v>
      </c>
      <c r="D54" s="5">
        <v>7</v>
      </c>
      <c r="E54" s="4">
        <v>375000</v>
      </c>
      <c r="F54" s="9">
        <f t="shared" si="1"/>
        <v>2625000</v>
      </c>
    </row>
    <row r="55" spans="1:6" ht="54" customHeight="1" x14ac:dyDescent="0.25">
      <c r="A55" s="7"/>
      <c r="B55" s="8" t="s">
        <v>57</v>
      </c>
      <c r="C55" s="3" t="s">
        <v>20</v>
      </c>
      <c r="D55" s="5">
        <v>5</v>
      </c>
      <c r="E55" s="4">
        <v>265000</v>
      </c>
      <c r="F55" s="9">
        <f t="shared" si="1"/>
        <v>1325000</v>
      </c>
    </row>
    <row r="56" spans="1:6" ht="148.5" customHeight="1" x14ac:dyDescent="0.25">
      <c r="A56" s="7"/>
      <c r="B56" s="8" t="s">
        <v>58</v>
      </c>
      <c r="C56" s="3" t="s">
        <v>20</v>
      </c>
      <c r="D56" s="5"/>
      <c r="E56" s="4">
        <v>2720000</v>
      </c>
      <c r="F56" s="9"/>
    </row>
    <row r="57" spans="1:6" ht="40.5" customHeight="1" x14ac:dyDescent="0.25">
      <c r="A57" s="7"/>
      <c r="B57" s="8" t="s">
        <v>59</v>
      </c>
      <c r="C57" s="3" t="s">
        <v>20</v>
      </c>
      <c r="D57" s="5"/>
      <c r="E57" s="4">
        <v>500000</v>
      </c>
      <c r="F57" s="9"/>
    </row>
    <row r="58" spans="1:6" x14ac:dyDescent="0.25">
      <c r="A58" s="1">
        <v>7</v>
      </c>
      <c r="B58" s="2" t="s">
        <v>60</v>
      </c>
      <c r="C58" s="3"/>
      <c r="D58" s="5"/>
      <c r="E58" s="22"/>
      <c r="F58" s="14"/>
    </row>
    <row r="59" spans="1:6" ht="27" x14ac:dyDescent="0.25">
      <c r="A59" s="7"/>
      <c r="B59" s="8" t="s">
        <v>61</v>
      </c>
      <c r="C59" s="3" t="s">
        <v>62</v>
      </c>
      <c r="D59" s="5">
        <v>5</v>
      </c>
      <c r="E59" s="4">
        <v>45000</v>
      </c>
      <c r="F59" s="9">
        <f>D59*E59</f>
        <v>225000</v>
      </c>
    </row>
    <row r="60" spans="1:6" ht="40.5" customHeight="1" x14ac:dyDescent="0.25">
      <c r="A60" s="7"/>
      <c r="B60" s="8" t="s">
        <v>63</v>
      </c>
      <c r="C60" s="3" t="s">
        <v>2</v>
      </c>
      <c r="D60" s="5">
        <v>1</v>
      </c>
      <c r="E60" s="4">
        <v>458000</v>
      </c>
      <c r="F60" s="9">
        <f>D60*E60</f>
        <v>458000</v>
      </c>
    </row>
    <row r="61" spans="1:6" ht="94.5" customHeight="1" x14ac:dyDescent="0.25">
      <c r="A61" s="7"/>
      <c r="B61" s="23" t="s">
        <v>64</v>
      </c>
      <c r="C61" s="10" t="s">
        <v>65</v>
      </c>
      <c r="D61" s="5">
        <v>4</v>
      </c>
      <c r="E61" s="4">
        <v>75000</v>
      </c>
      <c r="F61" s="9">
        <f>D61*E61</f>
        <v>300000</v>
      </c>
    </row>
    <row r="62" spans="1:6" ht="27" customHeight="1" x14ac:dyDescent="0.25">
      <c r="A62" s="7"/>
      <c r="B62" s="23" t="s">
        <v>66</v>
      </c>
      <c r="C62" s="10" t="s">
        <v>20</v>
      </c>
      <c r="D62" s="5"/>
      <c r="E62" s="4">
        <v>280000</v>
      </c>
      <c r="F62" s="9"/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Laura Riveros</dc:creator>
  <cp:lastModifiedBy>Laura Riveros</cp:lastModifiedBy>
  <dcterms:created xsi:type="dcterms:W3CDTF">2026-06-04T02:23:18Z</dcterms:created>
  <dcterms:modified xsi:type="dcterms:W3CDTF">2026-06-07T04:00:32Z</dcterms:modified>
</cp:coreProperties>
</file>