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Tesis\"/>
    </mc:Choice>
  </mc:AlternateContent>
  <xr:revisionPtr revIDLastSave="0" documentId="13_ncr:1_{9040DDC0-063C-4810-8655-430D601511B9}" xr6:coauthVersionLast="47" xr6:coauthVersionMax="47" xr10:uidLastSave="{00000000-0000-0000-0000-000000000000}"/>
  <bookViews>
    <workbookView xWindow="14295" yWindow="0" windowWidth="14610" windowHeight="15585" xr2:uid="{D652A0C3-EAF5-46C3-9C25-BFBDACF273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9" i="1" l="1"/>
  <c r="F128" i="1"/>
  <c r="F127" i="1"/>
  <c r="F126" i="1"/>
  <c r="F125" i="1"/>
  <c r="F124" i="1"/>
  <c r="F123" i="1"/>
  <c r="F122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1" i="1"/>
  <c r="F100" i="1"/>
  <c r="F99" i="1"/>
  <c r="F98" i="1"/>
  <c r="F97" i="1"/>
  <c r="F96" i="1"/>
  <c r="F95" i="1"/>
  <c r="F93" i="1"/>
  <c r="F92" i="1"/>
  <c r="F91" i="1"/>
  <c r="F90" i="1"/>
  <c r="F89" i="1"/>
  <c r="F88" i="1"/>
  <c r="F87" i="1"/>
  <c r="F86" i="1"/>
  <c r="D85" i="1"/>
  <c r="F84" i="1"/>
  <c r="F83" i="1"/>
  <c r="F82" i="1"/>
  <c r="F81" i="1"/>
  <c r="F80" i="1"/>
  <c r="F79" i="1"/>
  <c r="F78" i="1"/>
  <c r="F77" i="1"/>
  <c r="F76" i="1"/>
  <c r="F75" i="1"/>
  <c r="F74" i="1"/>
  <c r="F73" i="1"/>
  <c r="F71" i="1"/>
  <c r="F70" i="1"/>
  <c r="F69" i="1"/>
  <c r="F68" i="1"/>
  <c r="F67" i="1"/>
  <c r="F66" i="1"/>
  <c r="F65" i="1"/>
  <c r="F64" i="1"/>
  <c r="F63" i="1"/>
  <c r="F62" i="1"/>
  <c r="D61" i="1"/>
  <c r="F60" i="1"/>
  <c r="F59" i="1"/>
  <c r="F58" i="1"/>
  <c r="F57" i="1"/>
  <c r="F56" i="1"/>
  <c r="F55" i="1"/>
  <c r="F54" i="1"/>
  <c r="F52" i="1"/>
  <c r="D51" i="1"/>
  <c r="F50" i="1"/>
  <c r="F48" i="1"/>
  <c r="D47" i="1"/>
  <c r="D46" i="1"/>
  <c r="D45" i="1"/>
  <c r="F44" i="1"/>
  <c r="D43" i="1"/>
  <c r="D42" i="1"/>
  <c r="D41" i="1"/>
  <c r="D40" i="1"/>
  <c r="F39" i="1"/>
  <c r="D37" i="1"/>
  <c r="D36" i="1"/>
  <c r="D35" i="1"/>
  <c r="D34" i="1"/>
  <c r="D33" i="1"/>
  <c r="F32" i="1"/>
  <c r="F31" i="1"/>
  <c r="F30" i="1"/>
  <c r="F29" i="1"/>
  <c r="D28" i="1"/>
  <c r="D27" i="1"/>
  <c r="F26" i="1"/>
  <c r="F25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D7" i="1"/>
  <c r="D6" i="1"/>
  <c r="F5" i="1"/>
  <c r="F4" i="1"/>
  <c r="F3" i="1"/>
  <c r="F37" i="1" l="1"/>
  <c r="F36" i="1"/>
  <c r="F35" i="1"/>
  <c r="F34" i="1"/>
  <c r="F33" i="1"/>
  <c r="F28" i="1"/>
  <c r="F27" i="1"/>
  <c r="F7" i="1"/>
  <c r="F6" i="1"/>
  <c r="F61" i="1"/>
  <c r="F51" i="1"/>
  <c r="F47" i="1"/>
  <c r="F46" i="1"/>
  <c r="F45" i="1"/>
  <c r="F43" i="1"/>
  <c r="F42" i="1"/>
  <c r="F41" i="1"/>
  <c r="F40" i="1"/>
  <c r="F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C5E1A39C-D8BB-41E8-A97C-C54379F4E487}">
      <text>
        <r>
          <rPr>
            <sz val="11"/>
            <color theme="1"/>
            <rFont val="Aptos Narrow"/>
            <family val="2"/>
            <scheme val="minor"/>
          </rPr>
          <t>======
ID#AAAA6spMLhw
Erik Durfay Ricaurte Castillo    (2023-09-25 20:41:48)
Unidad de medida del item a contratar</t>
        </r>
      </text>
    </comment>
  </commentList>
</comments>
</file>

<file path=xl/sharedStrings.xml><?xml version="1.0" encoding="utf-8"?>
<sst xmlns="http://schemas.openxmlformats.org/spreadsheetml/2006/main" count="251" uniqueCount="142">
  <si>
    <t xml:space="preserve">PRELIMINARES </t>
  </si>
  <si>
    <t>Localizacion y replanteo (incluye local y bodega)</t>
  </si>
  <si>
    <t>m2</t>
  </si>
  <si>
    <t>Protección para vidrios en cartón</t>
  </si>
  <si>
    <t>Cambio de guardas (al recibir local y antes de entregarlo a la operación)</t>
  </si>
  <si>
    <t>und</t>
  </si>
  <si>
    <t>Cerramiento provisional autoportante en drywall hasta H:3.30m con estructura cada 60cm (incluye puerta en medidas enviadas por planos, refuerzo de madera, bisagras, cadena y candado)</t>
  </si>
  <si>
    <t>Suministro e instalación de banner en vinilo adhesivo de alta resolución acabado mate sobre fachada existente (arte de editable suministrado por juan valdez)</t>
  </si>
  <si>
    <t>DESMONTES Y DESCONEXIONES</t>
  </si>
  <si>
    <t>Desconexión de puntos eléctricos (salidas electricas, tomas, puntos de voz/datos, cctv e iluminación)</t>
  </si>
  <si>
    <t>Desconexión de puntos hidraúlicos (incluye retiro de tubería y tapón de salidas)</t>
  </si>
  <si>
    <t>Desconexión de puntos sanitarios (incluye retiro de tubería y tapón de salidas)</t>
  </si>
  <si>
    <t>Demolición de muros en mampostería (incluye enlonado y trasciego a punto de acopio)</t>
  </si>
  <si>
    <t>Desmolicion de muros en drywall/superboard (incluye enlonado y trasciego a punto de acopio)</t>
  </si>
  <si>
    <t>Desmonte de mesón de cocina</t>
  </si>
  <si>
    <t>gl</t>
  </si>
  <si>
    <t>Desmonte de aparatos sanitarios existentes</t>
  </si>
  <si>
    <t>Desmonte de puertas en madera</t>
  </si>
  <si>
    <t>Desmonte de cieloraso existente (drywall, modulado fibra mineral)</t>
  </si>
  <si>
    <t>Demolicion de plataforma existente</t>
  </si>
  <si>
    <t>Demolición de piso laminado existente</t>
  </si>
  <si>
    <t>Demolición de enchape en pared (baños y cocina)</t>
  </si>
  <si>
    <t>Desmonte de tablero eléctrico existente</t>
  </si>
  <si>
    <t>Demolicion de guardaescoba existente</t>
  </si>
  <si>
    <t>ml</t>
  </si>
  <si>
    <t>Demolición de enchape de piso existente</t>
  </si>
  <si>
    <t>PISOS Y PAREDES</t>
  </si>
  <si>
    <t>Regata en piso y pared para conexiones hidrosanitarias, electricas, voz y datos (incluye demolición, corte, resane y nivelacion)</t>
  </si>
  <si>
    <t xml:space="preserve">Afinado de piso </t>
  </si>
  <si>
    <t>Impermeabilización de piso bodega-barra-baños</t>
  </si>
  <si>
    <t xml:space="preserve">Suministro e instalación de enchape de piso gres ref. sahara 30x30 marca alfa terminado incluye boquilla, limpieza y sellado </t>
  </si>
  <si>
    <t xml:space="preserve">Suministro e instalación de enchape de piso gres ref. rojo 30x30 marca alfa terminado incluye boquilla, limpieza y sellado </t>
  </si>
  <si>
    <t xml:space="preserve">Suministro e instalación de enchape de piso gres ref. rojo 30x10 marca alfa terminado incluye cortes, boquilla, limpieza y sellado </t>
  </si>
  <si>
    <t xml:space="preserve">Suministro e instalación de enchape de guardaescoba gres ref. rojo 30x10 marca alfa terminado incluye cortes, boquilla, limpieza y sellado </t>
  </si>
  <si>
    <t>Suministro e instalación de piso porcelanato gris 60x30 o similares terminado incluye boquilla, limpieza y sellado</t>
  </si>
  <si>
    <t>Suministro e instalación de mediacaña en resina blanca perimetral de pisos (incluye accesorios esquineros, rinconeros, sellado en silicona superior e inferior y acabado en pintura epóxica blanca)</t>
  </si>
  <si>
    <t>Suministro e instalación de guardaescoba en mediacaña fundida en granito (incluye pulida, sellado y acabado en pintura epóxica blanca)</t>
  </si>
  <si>
    <t>Suministro e instalacion de enchape de pared tipo fachaleta blanco mate (incluye cortes, boquilla, limpieza y sellado)</t>
  </si>
  <si>
    <t>Suministro e instalación de enchape de pared ref. egeo blanco o similar (incluye cortes, desperdicio, pegante, dilataciones, boquilla, limpieza y sellado)</t>
  </si>
  <si>
    <t>Suministro e instalacion de enchape exagonal en gres multicolor (incluye cortes, desperdicio, pegante, dilataciones, boquilla, limpieza y sellado)</t>
  </si>
  <si>
    <t xml:space="preserve">MUROS DRYWALL / SUPERBOARD </t>
  </si>
  <si>
    <t>Suministro e instalación de refuerzo en madera de espesor 4cm y ancho hasta 30cm para instalación de equipos, muebles, lámparas, fachada, etc</t>
  </si>
  <si>
    <t>Suministro y aplicación de pañete liso en muro mamposteria (incluye filos)</t>
  </si>
  <si>
    <t>Suministro e instalación de muro una cara en superboard 8mm (incluye estructura y acabado a tres manos en pintura acryltex blanca)</t>
  </si>
  <si>
    <t>Suministro e instalación de muro doble cara en superboard 8mm (incluye estructura y acabado a tres manos en pintura acryltex blanca)</t>
  </si>
  <si>
    <t>Suministro e instalación de lineal una cara en superboard 8mm (incluye estructura, refuerzo en madera para puerta y acabado a tres manos en pintura acryltex blanca)</t>
  </si>
  <si>
    <t>Suministro e instalación de dintel doble cara en superboard 8mm (incluye estructura y acabado a tres manos en pintura acryltex blanca)</t>
  </si>
  <si>
    <t xml:space="preserve">Estuco (incluye lijada y acabado a una mano de pintura blanca tipo 2 </t>
  </si>
  <si>
    <t>Suministro y aplicación de pintura en muros a 3 manos (acabado texturizado o liso según se requiera color referencia juan valdez)</t>
  </si>
  <si>
    <t>Suministro y aplicación de pintura en muros a 3 manos (acabado liso ref. acryltex blanco mate)</t>
  </si>
  <si>
    <t>Filos y dilataciones</t>
  </si>
  <si>
    <t>CIELORASO</t>
  </si>
  <si>
    <t>Suministro e instalación de cieloraso en drywall bodega (incluye estructura y acabado a tres manos en pintura acryltex blanca)</t>
  </si>
  <si>
    <t>Suministro e instalación de cieloraso en drywall barra, lobby y baños (incluye estructura y pintura a 3 manos acabado texturizado o liso según se requiera color referencia juan valdez)</t>
  </si>
  <si>
    <t xml:space="preserve">Suministro e instalación de tapas de inspección (30x30) incluye marco en aluminio  </t>
  </si>
  <si>
    <t>REDES HIDROSANITARIAS</t>
  </si>
  <si>
    <t>Diseño Hidrosanitario (hidraulico y sanitario)  (incluye planimetria, cortes, detalles, carta de responsabilidad, y documentacion del profesional)</t>
  </si>
  <si>
    <t>Conexión a Punto cero en dimensión existente (hidraúlico y sanitario)</t>
  </si>
  <si>
    <t>Suministro e instalación de salida sanitaria 4" (incluye tubería red principal en 4" y tubería red subida por muros a 2", accesorios, cuelgas, pegante y demás elementos requeridos para su correcta instalación)</t>
  </si>
  <si>
    <t>Suministro e instalación de salida sanitaria 2" (incluye tubería red principal en 3" y tubería red subida por muros a 2", accesorios, cuelgas, pegante y demás elementos requeridos para su correcta instalación)</t>
  </si>
  <si>
    <t>Suministro e instalacion de salida hidráulica de 1/2" (incluye tubería de 1/2", accesorios, cuelgas, pegante y demas elementos requeridos para correcta instalación)</t>
  </si>
  <si>
    <t>Suministro e instalación de registro tipo mariposa galvanizado 1/2" (incluye acoples, terminales, pegante y demas accesorios requeridos para correcta instalación)</t>
  </si>
  <si>
    <t>Suministro e instalación de caja lavadora (incluye sellado de orificios que no se vayan a usar, bujes en caucho para garantizar hermeticidad y reducciones en pvc según mangueras de equipos)</t>
  </si>
  <si>
    <t>Suministro e instalación de tapa registro 15x15 (incluye sticker fumigación y hermeticidad con sika en laterales)</t>
  </si>
  <si>
    <t>Suministro e instalación de rejilla anticucharacha 3x2" en piso marca grival</t>
  </si>
  <si>
    <t>Suministro e instalación de llave jardín 1/2" galvanizada marca grival (incluye acoples, terminales, pegante y demas accesorios requeridos para correcta instalacion)</t>
  </si>
  <si>
    <t>Suministro e instalacion de llave de agua filtrada  (incluye acoples, terminales, pegante y demas accesorios requeridos para correcta instalacion)</t>
  </si>
  <si>
    <t>Suministro e instalacion de llave sensor para lavaplatos  (incluye acoples, terminales, pegante y demas accesorios requeridos para correcta instalacion)</t>
  </si>
  <si>
    <t>Suministro e instalacion de lavamanos ref. Lavamanos vessel rin Unico Blanco (incluye resanes, accesorios, mangueras y puesta en marcha)</t>
  </si>
  <si>
    <t>Suministro e instalacion de inodoro ref. Sanitario One Piece Luxor Unico Unico  (incluye resanes, accesorios, mangueras y puesta en marcha)</t>
  </si>
  <si>
    <t>Suministro e instalacion de orinal ref. Orinal arrecife con válvula Expt push 1.9s marca corona (incluye resanes, accesorios, mangueras, push y puesta en marcha)</t>
  </si>
  <si>
    <t>Suministro e instalación de Grifería Lavamanos Monocontrol Koral Alta Mate Black ref. corona (incluye accesorios, mangueras y puesta en marcha)</t>
  </si>
  <si>
    <t>Instalacion de coldrink triple (incluye acoples, pegante, mangueras y demás accesorios requeridos para correcta instalación)</t>
  </si>
  <si>
    <t xml:space="preserve">Suministro e instalación cuelgatraperos para poceta </t>
  </si>
  <si>
    <t>REDES ELECTRICAS</t>
  </si>
  <si>
    <t>Diseño Eléctrico  (incluye planimetria, cortes, detalles, carta de responsabilidad, y documentacion del profesional)</t>
  </si>
  <si>
    <t>Reubicacion y prolongación de acometida electrica hasta 50 metros en cable calibre No. 2 (incluye canalización, ponchado, bornas y marcación)</t>
  </si>
  <si>
    <t>Suministro e instalación de tablero eléctrico trifásico pre-ensamblado, puerta, chapa de 42 circuitos. (Incluye peinado)</t>
  </si>
  <si>
    <t xml:space="preserve">Certficacion Retie </t>
  </si>
  <si>
    <t>Toma corriente con polo a tierra, 110V - (incluye aparato,  caja, accesorios, tubería eléctrica y cable hasta 3 m (1F+1N+1T) marca Centelsa.)</t>
  </si>
  <si>
    <t>Toma corriente regulada con polo a tierra, 110V - (incluye aparato,  caja, accesorios, tubería eléctrica y cable hasta 3 m (1F+1N+1T) marca Centelsa.)</t>
  </si>
  <si>
    <t>Toma corriente GFCI con polo a tierra, 110V - (incluye aparato,  caja, accesorios, tubería eléctrica y cable hasta 3 m (1F+1N+1T) marca Centelsa.)</t>
  </si>
  <si>
    <t>Suministro e instalación tuberia conduit galvanizada EMT  de Ø 3/4" (incluye accesorios y cableado eléctrico No. 10 o  No. 12 según aplique libre halogenos 1F+1N+1T)</t>
  </si>
  <si>
    <t>Suministro e instalación extractor de olores de 14" industrial en barra (incluye tubería, cableado e interruptor, marco y angeo)</t>
  </si>
  <si>
    <t>Toma corriente con polo a tierra, 220V Para Molinos kryo (contemplar posible cambio a 110v en sitio) (incluye aparato,  caja, accesorios, tubería eléctrica y cable hasta 3 m (1F+1N+1T) marca Centelsa.)</t>
  </si>
  <si>
    <t xml:space="preserve">und </t>
  </si>
  <si>
    <t>Toma corriente con polo a tierra, 220V para maquina espresso (incluye aparato,  caja, accesorios, tubería eléctrica y cable hasta 3 m (1F+1N+1T) marca Centelsa.)</t>
  </si>
  <si>
    <t>Toma corriente con polo a tierra , 220v trifasica para horno rational (incluye aparato,  caja, accesorios, tubería eléctrica y cable hasta 3 m (1F+1N+1T) marca Centelsa.)</t>
  </si>
  <si>
    <t>Suministro e instalación de salida110v  para iluminación (incluye caja, encauchetado)</t>
  </si>
  <si>
    <t>Suministro e instalación de salida 12v  para avisos y tazas (incluye caja, encauchetado)</t>
  </si>
  <si>
    <t>Suministro e instalacion de breakers de 1*20 AMP</t>
  </si>
  <si>
    <t>Suministro e instalacion de breakers de 2*20 AMP</t>
  </si>
  <si>
    <t>Suministro e instalacion de breakers de 3*20 AMP</t>
  </si>
  <si>
    <t>Suministro e instalacion de breakers de 3*50 AMP</t>
  </si>
  <si>
    <t>Suministro e instalación de Secador De Manos Sensor Acero Inoxidable 110v Institucional</t>
  </si>
  <si>
    <t>Suministro e instalación de interruptor sencillo on-off luz</t>
  </si>
  <si>
    <t>Suministro e instalación de interruptor doble on-off luz</t>
  </si>
  <si>
    <t>ILUMINACION</t>
  </si>
  <si>
    <t>Suminstro e instalacion de lamparas de emergencia tipo Mickey Mouse (incluye tuberia y cableado)</t>
  </si>
  <si>
    <t>Suministro e instalación de lámpara descolgada negro mate y bombona ref. Lámpara Bonolo Opal Colgante o similar (incluye cable encauchetado hasta 2 metros de cola por lámpara, refuerzo para soporte por peso y bombillo vintage luz cálida)</t>
  </si>
  <si>
    <t>Suministro e instalación de cinta led con su respectivo difusor (incluye anclaje, silicona, driver, y todos los accesorios requeridos para su correcta instalación) (Mercadeo y frente de barra)</t>
  </si>
  <si>
    <t xml:space="preserve">Suministro e instalacion de Panel Led de incrustar Redondo 18W Luz Fria marca Sylvania o similares (incluye apertura de cieloraso y resane si aplica) </t>
  </si>
  <si>
    <t xml:space="preserve">Suministro e instalacion de Panel Led de incrustar Redondo 18W Luz neutra marca Sylvania o similares (incluye apertura de cieloraso y resane si aplica) </t>
  </si>
  <si>
    <t xml:space="preserve">Suministro e instalacion de aplique de pared en madera con doble bombillo led tipo bombona vintage luz calida </t>
  </si>
  <si>
    <t>Suministro e instalación de aplique de pared doble ref. Aplique Led Para Pared De Luz Indirecta Cuadrado negro mate (incluye bombillo luz calida</t>
  </si>
  <si>
    <t>DISEÑO RCI, DETECCION Y ESPECIALES</t>
  </si>
  <si>
    <t>Diseño Deteccion (incluye planimetria, cortes, detalles, carta de responsabilidad, y documentacion del profesional)</t>
  </si>
  <si>
    <t xml:space="preserve">Suministro e instalacion de red de deteccion de incendios en bodega (Ajuste al existente bajo pergola) y bodega </t>
  </si>
  <si>
    <t>Diseño RCI  (incluye planimetria, cortes, detalles, carta de responsabilidad, y documentacion del profesional)</t>
  </si>
  <si>
    <t>Conexión a Punto cero</t>
  </si>
  <si>
    <t>Suministro e instalación de roceadores según norma</t>
  </si>
  <si>
    <t>Suministro e instalación de red de incendio acero al carbono 3/4</t>
  </si>
  <si>
    <t>Diseño aire acondicionado para local completo (bodega, barra, lobby) - incluye revision de instalación aplicada al diseño de la tienda</t>
  </si>
  <si>
    <t>CCTV Y DATOS</t>
  </si>
  <si>
    <t>Salida Para Datos - (incluye caja, accesorios, tubería eléctrica y cable hasta 3 metros</t>
  </si>
  <si>
    <t>Salida Para CCTV - (incluye caja, accesorios, tubería eléctrica y cable hasta 3 metros</t>
  </si>
  <si>
    <t>Suministro e instalación de cable UTP CAT 6, para salidas de camaras, datos, pos, pantallas, etc con canalizacion superior a 3 metros por salida</t>
  </si>
  <si>
    <t>Suministro e instalacion de gabinete para rack de pared</t>
  </si>
  <si>
    <t>Suministro e instalación de bandeja para rack</t>
  </si>
  <si>
    <t>Suministro e instalación de punto para red wifi 110v</t>
  </si>
  <si>
    <t>Suministro e instalación de multitoma regulada para gabinete (rack). Incluye 6 tomas dobles tipo HG y sistema de protección contra sobretensiones</t>
  </si>
  <si>
    <t>Suministro e instalación de patchpanel Cat-6 24 puertos tipo 110 AMP, raqueable.</t>
  </si>
  <si>
    <t>Suministro e instalación de Face plate para puntos e instalación en barra</t>
  </si>
  <si>
    <t xml:space="preserve">Suministro e instalación de Jacks </t>
  </si>
  <si>
    <t>OTROS</t>
  </si>
  <si>
    <t>Acompañamiento y gestión de permisos, coordinador de alturas / siso por la duración de la obra (40 días)</t>
  </si>
  <si>
    <t xml:space="preserve">Prueba de estanquedad </t>
  </si>
  <si>
    <t>Mantenimiento de fachada en vidrio existente (incluye pulida de vidrios, limpieza y sellado con silicona)</t>
  </si>
  <si>
    <t>Reubicacion de escalera de gato (incluye escotilla en techo, soldada, pintura en aceite negro brillante)</t>
  </si>
  <si>
    <t>Aseo de obra, una cuadrilla (2 personas) (se debe incluir soportes) - incluye desmanchado de pisos - últimos 7 días de ejecución de obra (el resto de días bajo responsabilidad del personal en sitio se debe garantizar la limpieza de pasillos y zonas comunes del centro comercial</t>
  </si>
  <si>
    <t>dia</t>
  </si>
  <si>
    <t>Cargue de volqueta, y viaje de volqueta (incluye certificado de retiro de escombros)</t>
  </si>
  <si>
    <t>viaje</t>
  </si>
  <si>
    <t>Alquiler de andamio certificado 5 secciones (incluye certificado de equipos)</t>
  </si>
  <si>
    <t>sem</t>
  </si>
  <si>
    <t>Alquiler de escalera certificada 3 unidades (incluye certificado de equipos)</t>
  </si>
  <si>
    <t>item</t>
  </si>
  <si>
    <t>descripcion</t>
  </si>
  <si>
    <t>un</t>
  </si>
  <si>
    <t>cant</t>
  </si>
  <si>
    <t>valor_unitario</t>
  </si>
  <si>
    <t>valor_parcial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</si>
</sst>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4" formatCode="_-&quot;$&quot;\ * #,##0.00_-;\-&quot;$&quot;\ * #,##0.00_-;_-&quot;$&quot;\ * &quot;-&quot;??_-;_-@_-"/>
    <numFmt numFmtId="164" formatCode="d&quot; de &quot;mmm&quot; de &quot;yy"/>
    <numFmt numFmtId="165" formatCode="#,##0.00_ ;[Red]\-#,##0.00\ "/>
    <numFmt numFmtId="166" formatCode="0.0"/>
    <numFmt numFmtId="167" formatCode="_-* #,##0.00_-;\-* #,##0.00_-;_-* &quot;-&quot;_-;_-@_-"/>
    <numFmt numFmtId="168" formatCode="#,##0.0_ ;[Red]\-#,##0.0\ "/>
    <numFmt numFmtId="169" formatCode="_(* #,##0_);_(* \(#,##0\);_(* \-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8D8D8"/>
        <bgColor rgb="FFD8D8D8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" fillId="0" borderId="0"/>
  </cellStyleXfs>
  <cellXfs count="34">
    <xf numFmtId="0" fontId="0" fillId="0" borderId="0" xfId="0"/>
    <xf numFmtId="0" fontId="3" fillId="2" borderId="2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2" fontId="3" fillId="2" borderId="1" xfId="1" applyNumberFormat="1" applyFont="1" applyFill="1" applyBorder="1" applyAlignment="1" applyProtection="1">
      <alignment horizontal="center" vertical="center"/>
    </xf>
    <xf numFmtId="44" fontId="3" fillId="2" borderId="1" xfId="2" applyFont="1" applyFill="1" applyBorder="1" applyAlignment="1" applyProtection="1">
      <alignment horizontal="center" vertical="center"/>
    </xf>
    <xf numFmtId="0" fontId="2" fillId="0" borderId="3" xfId="3" applyFont="1" applyBorder="1" applyAlignment="1">
      <alignment vertical="center" wrapText="1"/>
    </xf>
    <xf numFmtId="166" fontId="2" fillId="0" borderId="1" xfId="0" applyNumberFormat="1" applyFont="1" applyBorder="1" applyAlignment="1">
      <alignment horizontal="center" vertical="center"/>
    </xf>
    <xf numFmtId="167" fontId="2" fillId="0" borderId="1" xfId="1" applyNumberFormat="1" applyFont="1" applyBorder="1" applyAlignment="1">
      <alignment horizontal="center" vertical="center"/>
    </xf>
    <xf numFmtId="44" fontId="2" fillId="0" borderId="1" xfId="2" applyFont="1" applyFill="1" applyBorder="1" applyAlignment="1">
      <alignment vertical="center"/>
    </xf>
    <xf numFmtId="0" fontId="2" fillId="3" borderId="3" xfId="3" applyFont="1" applyFill="1" applyBorder="1" applyAlignment="1">
      <alignment vertical="center" wrapText="1"/>
    </xf>
    <xf numFmtId="166" fontId="2" fillId="3" borderId="1" xfId="0" applyNumberFormat="1" applyFont="1" applyFill="1" applyBorder="1" applyAlignment="1">
      <alignment horizontal="center" vertical="center"/>
    </xf>
    <xf numFmtId="167" fontId="2" fillId="3" borderId="1" xfId="1" applyNumberFormat="1" applyFont="1" applyFill="1" applyBorder="1" applyAlignment="1">
      <alignment horizontal="center" vertical="center"/>
    </xf>
    <xf numFmtId="44" fontId="2" fillId="3" borderId="1" xfId="2" applyFont="1" applyFill="1" applyBorder="1" applyAlignment="1">
      <alignment vertical="center"/>
    </xf>
    <xf numFmtId="0" fontId="3" fillId="2" borderId="3" xfId="0" applyFont="1" applyFill="1" applyBorder="1" applyAlignment="1">
      <alignment wrapText="1"/>
    </xf>
    <xf numFmtId="3" fontId="3" fillId="2" borderId="1" xfId="0" applyNumberFormat="1" applyFont="1" applyFill="1" applyBorder="1" applyAlignment="1">
      <alignment horizontal="center" vertical="center"/>
    </xf>
    <xf numFmtId="44" fontId="3" fillId="2" borderId="1" xfId="2" applyFont="1" applyFill="1" applyBorder="1" applyAlignment="1">
      <alignment horizontal="center" vertical="center"/>
    </xf>
    <xf numFmtId="167" fontId="2" fillId="0" borderId="1" xfId="1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44" fontId="2" fillId="0" borderId="1" xfId="2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 wrapText="1"/>
    </xf>
    <xf numFmtId="44" fontId="2" fillId="3" borderId="1" xfId="2" applyFont="1" applyFill="1" applyBorder="1" applyAlignment="1">
      <alignment horizontal="center" vertical="center"/>
    </xf>
    <xf numFmtId="44" fontId="2" fillId="0" borderId="1" xfId="2" applyFont="1" applyBorder="1" applyAlignment="1">
      <alignment horizontal="center" vertical="center"/>
    </xf>
    <xf numFmtId="44" fontId="2" fillId="4" borderId="1" xfId="2" applyFont="1" applyFill="1" applyBorder="1" applyAlignment="1">
      <alignment vertical="center"/>
    </xf>
    <xf numFmtId="165" fontId="3" fillId="2" borderId="1" xfId="0" applyNumberFormat="1" applyFont="1" applyFill="1" applyBorder="1" applyAlignment="1">
      <alignment vertical="center"/>
    </xf>
    <xf numFmtId="3" fontId="3" fillId="2" borderId="3" xfId="0" applyNumberFormat="1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/>
    </xf>
    <xf numFmtId="44" fontId="2" fillId="2" borderId="1" xfId="2" applyFont="1" applyFill="1" applyBorder="1" applyAlignment="1">
      <alignment horizontal="center" vertical="center"/>
    </xf>
    <xf numFmtId="44" fontId="2" fillId="2" borderId="1" xfId="2" applyFont="1" applyFill="1" applyBorder="1" applyAlignment="1">
      <alignment vertical="center"/>
    </xf>
    <xf numFmtId="49" fontId="5" fillId="5" borderId="4" xfId="0" applyNumberFormat="1" applyFont="1" applyFill="1" applyBorder="1" applyAlignment="1">
      <alignment vertical="center"/>
    </xf>
    <xf numFmtId="164" fontId="5" fillId="5" borderId="1" xfId="0" applyNumberFormat="1" applyFont="1" applyFill="1" applyBorder="1" applyAlignment="1">
      <alignment vertical="center" wrapText="1"/>
    </xf>
    <xf numFmtId="49" fontId="5" fillId="5" borderId="1" xfId="0" applyNumberFormat="1" applyFont="1" applyFill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</cellXfs>
  <cellStyles count="4">
    <cellStyle name="Millares [0]" xfId="1" builtinId="6"/>
    <cellStyle name="Moneda" xfId="2" builtinId="4"/>
    <cellStyle name="Normal" xfId="0" builtinId="0"/>
    <cellStyle name="Normal 2" xfId="3" xr:uid="{7F850C0C-676F-4BD1-8976-767BB22D5B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F9DAD-950F-4435-AEF2-8A793055AEAD}">
  <dimension ref="A1:F129"/>
  <sheetViews>
    <sheetView tabSelected="1" workbookViewId="0">
      <selection sqref="A1:XFD1"/>
    </sheetView>
  </sheetViews>
  <sheetFormatPr baseColWidth="10" defaultRowHeight="15" x14ac:dyDescent="0.25"/>
  <cols>
    <col min="2" max="2" width="24.28515625" customWidth="1"/>
  </cols>
  <sheetData>
    <row r="1" spans="1:6" x14ac:dyDescent="0.25">
      <c r="A1" s="28" t="s">
        <v>136</v>
      </c>
      <c r="B1" s="29" t="s">
        <v>137</v>
      </c>
      <c r="C1" s="30" t="s">
        <v>138</v>
      </c>
      <c r="D1" s="31" t="s">
        <v>139</v>
      </c>
      <c r="E1" s="32" t="s">
        <v>140</v>
      </c>
      <c r="F1" s="33" t="s">
        <v>141</v>
      </c>
    </row>
    <row r="2" spans="1:6" x14ac:dyDescent="0.25">
      <c r="A2">
        <v>1</v>
      </c>
      <c r="B2" s="1" t="s">
        <v>0</v>
      </c>
      <c r="C2" s="2"/>
      <c r="D2" s="3"/>
      <c r="E2" s="4"/>
      <c r="F2" s="4"/>
    </row>
    <row r="3" spans="1:6" ht="22.5" x14ac:dyDescent="0.25">
      <c r="B3" s="5" t="s">
        <v>1</v>
      </c>
      <c r="C3" s="6" t="s">
        <v>2</v>
      </c>
      <c r="D3" s="7">
        <v>113.33</v>
      </c>
      <c r="E3" s="8">
        <v>3150</v>
      </c>
      <c r="F3" s="8">
        <f>D3*E3</f>
        <v>356989.5</v>
      </c>
    </row>
    <row r="4" spans="1:6" x14ac:dyDescent="0.25">
      <c r="B4" s="5" t="s">
        <v>3</v>
      </c>
      <c r="C4" s="6" t="s">
        <v>2</v>
      </c>
      <c r="D4" s="7">
        <v>30.13</v>
      </c>
      <c r="E4" s="8">
        <v>3780</v>
      </c>
      <c r="F4" s="8">
        <f>D4*E4</f>
        <v>113891.4</v>
      </c>
    </row>
    <row r="5" spans="1:6" ht="33.75" x14ac:dyDescent="0.25">
      <c r="B5" s="9" t="s">
        <v>4</v>
      </c>
      <c r="C5" s="10" t="s">
        <v>5</v>
      </c>
      <c r="D5" s="11">
        <v>2</v>
      </c>
      <c r="E5" s="12">
        <v>67500</v>
      </c>
      <c r="F5" s="12">
        <f>D5*E5</f>
        <v>135000</v>
      </c>
    </row>
    <row r="6" spans="1:6" ht="78.75" x14ac:dyDescent="0.25">
      <c r="B6" s="5" t="s">
        <v>6</v>
      </c>
      <c r="C6" s="6" t="s">
        <v>2</v>
      </c>
      <c r="D6" s="7">
        <f>10.18*2.96</f>
        <v>30.1328</v>
      </c>
      <c r="E6" s="8">
        <v>45423</v>
      </c>
      <c r="F6" s="8">
        <f>D6*E6</f>
        <v>1368722.1743999999</v>
      </c>
    </row>
    <row r="7" spans="1:6" ht="67.5" x14ac:dyDescent="0.25">
      <c r="B7" s="5" t="s">
        <v>7</v>
      </c>
      <c r="C7" s="6" t="s">
        <v>2</v>
      </c>
      <c r="D7" s="7">
        <f>10.18*2.96</f>
        <v>30.1328</v>
      </c>
      <c r="E7" s="8">
        <v>65250</v>
      </c>
      <c r="F7" s="8">
        <f>D7*E7</f>
        <v>1966165.2</v>
      </c>
    </row>
    <row r="8" spans="1:6" ht="23.25" x14ac:dyDescent="0.25">
      <c r="A8">
        <v>2</v>
      </c>
      <c r="B8" s="13" t="s">
        <v>8</v>
      </c>
      <c r="C8" s="14"/>
      <c r="D8" s="14"/>
      <c r="E8" s="15"/>
      <c r="F8" s="4"/>
    </row>
    <row r="9" spans="1:6" ht="45" x14ac:dyDescent="0.25">
      <c r="B9" s="5" t="s">
        <v>9</v>
      </c>
      <c r="C9" s="6" t="s">
        <v>5</v>
      </c>
      <c r="D9" s="7">
        <v>50</v>
      </c>
      <c r="E9" s="8">
        <v>10980</v>
      </c>
      <c r="F9" s="8">
        <f t="shared" ref="F9:F23" si="0">D9*E9</f>
        <v>549000</v>
      </c>
    </row>
    <row r="10" spans="1:6" ht="33.75" x14ac:dyDescent="0.25">
      <c r="B10" s="5" t="s">
        <v>10</v>
      </c>
      <c r="C10" s="6" t="s">
        <v>5</v>
      </c>
      <c r="D10" s="16">
        <v>16</v>
      </c>
      <c r="E10" s="8">
        <v>43020</v>
      </c>
      <c r="F10" s="8">
        <f t="shared" si="0"/>
        <v>688320</v>
      </c>
    </row>
    <row r="11" spans="1:6" ht="33.75" x14ac:dyDescent="0.25">
      <c r="B11" s="5" t="s">
        <v>11</v>
      </c>
      <c r="C11" s="6" t="s">
        <v>5</v>
      </c>
      <c r="D11" s="7">
        <v>8</v>
      </c>
      <c r="E11" s="8">
        <v>59688</v>
      </c>
      <c r="F11" s="8">
        <f t="shared" si="0"/>
        <v>477504</v>
      </c>
    </row>
    <row r="12" spans="1:6" ht="33.75" x14ac:dyDescent="0.25">
      <c r="B12" s="9" t="s">
        <v>12</v>
      </c>
      <c r="C12" s="10" t="s">
        <v>2</v>
      </c>
      <c r="D12" s="11">
        <v>57.54</v>
      </c>
      <c r="E12" s="12">
        <v>15138</v>
      </c>
      <c r="F12" s="12">
        <f t="shared" si="0"/>
        <v>871040.52</v>
      </c>
    </row>
    <row r="13" spans="1:6" ht="45" x14ac:dyDescent="0.25">
      <c r="B13" s="5" t="s">
        <v>13</v>
      </c>
      <c r="C13" s="6" t="s">
        <v>2</v>
      </c>
      <c r="D13" s="7">
        <v>43.65</v>
      </c>
      <c r="E13" s="8">
        <v>12348</v>
      </c>
      <c r="F13" s="8">
        <f t="shared" si="0"/>
        <v>538990.19999999995</v>
      </c>
    </row>
    <row r="14" spans="1:6" x14ac:dyDescent="0.25">
      <c r="B14" s="5" t="s">
        <v>14</v>
      </c>
      <c r="C14" s="6" t="s">
        <v>15</v>
      </c>
      <c r="D14" s="7">
        <v>1</v>
      </c>
      <c r="E14" s="8">
        <v>67500</v>
      </c>
      <c r="F14" s="8">
        <f t="shared" si="0"/>
        <v>67500</v>
      </c>
    </row>
    <row r="15" spans="1:6" ht="22.5" x14ac:dyDescent="0.25">
      <c r="B15" s="5" t="s">
        <v>16</v>
      </c>
      <c r="C15" s="6" t="s">
        <v>5</v>
      </c>
      <c r="D15" s="7">
        <v>8</v>
      </c>
      <c r="E15" s="8">
        <v>33750</v>
      </c>
      <c r="F15" s="8">
        <f t="shared" si="0"/>
        <v>270000</v>
      </c>
    </row>
    <row r="16" spans="1:6" x14ac:dyDescent="0.25">
      <c r="B16" s="5" t="s">
        <v>17</v>
      </c>
      <c r="C16" s="6" t="s">
        <v>5</v>
      </c>
      <c r="D16" s="7">
        <v>11</v>
      </c>
      <c r="E16" s="8">
        <v>27000</v>
      </c>
      <c r="F16" s="8">
        <f t="shared" si="0"/>
        <v>297000</v>
      </c>
    </row>
    <row r="17" spans="1:6" ht="22.5" x14ac:dyDescent="0.25">
      <c r="B17" s="5" t="s">
        <v>18</v>
      </c>
      <c r="C17" s="6" t="s">
        <v>2</v>
      </c>
      <c r="D17" s="7">
        <v>105</v>
      </c>
      <c r="E17" s="8">
        <v>10980</v>
      </c>
      <c r="F17" s="8">
        <f t="shared" si="0"/>
        <v>1152900</v>
      </c>
    </row>
    <row r="18" spans="1:6" ht="22.5" x14ac:dyDescent="0.25">
      <c r="B18" s="5" t="s">
        <v>19</v>
      </c>
      <c r="C18" s="6" t="s">
        <v>2</v>
      </c>
      <c r="D18" s="7">
        <v>9.9499999999999993</v>
      </c>
      <c r="E18" s="8">
        <v>20250</v>
      </c>
      <c r="F18" s="8">
        <f t="shared" si="0"/>
        <v>201487.5</v>
      </c>
    </row>
    <row r="19" spans="1:6" ht="22.5" x14ac:dyDescent="0.25">
      <c r="B19" s="5" t="s">
        <v>20</v>
      </c>
      <c r="C19" s="6" t="s">
        <v>2</v>
      </c>
      <c r="D19" s="7">
        <v>20</v>
      </c>
      <c r="E19" s="8">
        <v>2700</v>
      </c>
      <c r="F19" s="8">
        <f t="shared" si="0"/>
        <v>54000</v>
      </c>
    </row>
    <row r="20" spans="1:6" ht="22.5" x14ac:dyDescent="0.25">
      <c r="B20" s="5" t="s">
        <v>21</v>
      </c>
      <c r="C20" s="6" t="s">
        <v>2</v>
      </c>
      <c r="D20" s="7">
        <v>45</v>
      </c>
      <c r="E20" s="8">
        <v>9743.4</v>
      </c>
      <c r="F20" s="8">
        <f t="shared" si="0"/>
        <v>438453</v>
      </c>
    </row>
    <row r="21" spans="1:6" ht="22.5" x14ac:dyDescent="0.25">
      <c r="B21" s="5" t="s">
        <v>22</v>
      </c>
      <c r="C21" s="6" t="s">
        <v>5</v>
      </c>
      <c r="D21" s="7">
        <v>1</v>
      </c>
      <c r="E21" s="8">
        <v>130582.8</v>
      </c>
      <c r="F21" s="8">
        <f t="shared" si="0"/>
        <v>130582.8</v>
      </c>
    </row>
    <row r="22" spans="1:6" ht="22.5" x14ac:dyDescent="0.25">
      <c r="B22" s="5" t="s">
        <v>23</v>
      </c>
      <c r="C22" s="6" t="s">
        <v>24</v>
      </c>
      <c r="D22" s="7">
        <v>48</v>
      </c>
      <c r="E22" s="8">
        <v>4871.7</v>
      </c>
      <c r="F22" s="8">
        <f t="shared" si="0"/>
        <v>233841.59999999998</v>
      </c>
    </row>
    <row r="23" spans="1:6" ht="22.5" x14ac:dyDescent="0.25">
      <c r="B23" s="5" t="s">
        <v>25</v>
      </c>
      <c r="C23" s="6" t="s">
        <v>2</v>
      </c>
      <c r="D23" s="7">
        <v>105</v>
      </c>
      <c r="E23" s="8">
        <v>11093.4</v>
      </c>
      <c r="F23" s="8">
        <f t="shared" si="0"/>
        <v>1164807</v>
      </c>
    </row>
    <row r="24" spans="1:6" x14ac:dyDescent="0.25">
      <c r="A24">
        <v>3</v>
      </c>
      <c r="B24" s="13" t="s">
        <v>26</v>
      </c>
      <c r="C24" s="14"/>
      <c r="D24" s="14"/>
      <c r="E24" s="15"/>
      <c r="F24" s="4"/>
    </row>
    <row r="25" spans="1:6" ht="56.25" x14ac:dyDescent="0.25">
      <c r="B25" s="17" t="s">
        <v>27</v>
      </c>
      <c r="C25" s="6" t="s">
        <v>24</v>
      </c>
      <c r="D25" s="7">
        <v>38</v>
      </c>
      <c r="E25" s="18">
        <v>11812.5</v>
      </c>
      <c r="F25" s="8">
        <f t="shared" ref="F25:F36" si="1">D25*E25</f>
        <v>448875</v>
      </c>
    </row>
    <row r="26" spans="1:6" x14ac:dyDescent="0.25">
      <c r="B26" s="17" t="s">
        <v>28</v>
      </c>
      <c r="C26" s="6" t="s">
        <v>2</v>
      </c>
      <c r="D26" s="7">
        <v>105</v>
      </c>
      <c r="E26" s="18">
        <v>67309.2</v>
      </c>
      <c r="F26" s="8">
        <f t="shared" si="1"/>
        <v>7067466</v>
      </c>
    </row>
    <row r="27" spans="1:6" ht="22.5" x14ac:dyDescent="0.25">
      <c r="B27" s="5" t="s">
        <v>29</v>
      </c>
      <c r="C27" s="6" t="s">
        <v>2</v>
      </c>
      <c r="D27" s="7">
        <f>D28+3.8+3.4</f>
        <v>46.379999999999995</v>
      </c>
      <c r="E27" s="18">
        <v>42852.6</v>
      </c>
      <c r="F27" s="8">
        <f t="shared" si="1"/>
        <v>1987503.5879999998</v>
      </c>
    </row>
    <row r="28" spans="1:6" ht="56.25" x14ac:dyDescent="0.25">
      <c r="B28" s="17" t="s">
        <v>30</v>
      </c>
      <c r="C28" s="6" t="s">
        <v>2</v>
      </c>
      <c r="D28" s="7">
        <f>35.75+3.43</f>
        <v>39.18</v>
      </c>
      <c r="E28" s="18">
        <v>93897</v>
      </c>
      <c r="F28" s="8">
        <f t="shared" si="1"/>
        <v>3678884.46</v>
      </c>
    </row>
    <row r="29" spans="1:6" ht="56.25" x14ac:dyDescent="0.25">
      <c r="B29" s="17" t="s">
        <v>31</v>
      </c>
      <c r="C29" s="6" t="s">
        <v>2</v>
      </c>
      <c r="D29" s="7">
        <v>14</v>
      </c>
      <c r="E29" s="18">
        <v>93897</v>
      </c>
      <c r="F29" s="8">
        <f t="shared" si="1"/>
        <v>1314558</v>
      </c>
    </row>
    <row r="30" spans="1:6" ht="56.25" x14ac:dyDescent="0.25">
      <c r="B30" s="17" t="s">
        <v>32</v>
      </c>
      <c r="C30" s="6" t="s">
        <v>2</v>
      </c>
      <c r="D30" s="7">
        <v>18.5</v>
      </c>
      <c r="E30" s="18">
        <v>84486.6</v>
      </c>
      <c r="F30" s="8">
        <f t="shared" si="1"/>
        <v>1563002.1</v>
      </c>
    </row>
    <row r="31" spans="1:6" ht="56.25" x14ac:dyDescent="0.25">
      <c r="B31" s="17" t="s">
        <v>33</v>
      </c>
      <c r="C31" s="6" t="s">
        <v>24</v>
      </c>
      <c r="D31" s="7">
        <v>50.33</v>
      </c>
      <c r="E31" s="18">
        <v>20034</v>
      </c>
      <c r="F31" s="8">
        <f t="shared" si="1"/>
        <v>1008311.22</v>
      </c>
    </row>
    <row r="32" spans="1:6" ht="45" x14ac:dyDescent="0.25">
      <c r="B32" s="17" t="s">
        <v>34</v>
      </c>
      <c r="C32" s="6" t="s">
        <v>2</v>
      </c>
      <c r="D32" s="7">
        <v>30.05</v>
      </c>
      <c r="E32" s="18">
        <v>138600</v>
      </c>
      <c r="F32" s="8">
        <f t="shared" si="1"/>
        <v>4164930</v>
      </c>
    </row>
    <row r="33" spans="1:6" ht="78.75" x14ac:dyDescent="0.25">
      <c r="B33" s="5" t="s">
        <v>35</v>
      </c>
      <c r="C33" s="6" t="s">
        <v>24</v>
      </c>
      <c r="D33" s="7">
        <f>21.5+14.44</f>
        <v>35.94</v>
      </c>
      <c r="E33" s="18">
        <v>57825</v>
      </c>
      <c r="F33" s="8">
        <f t="shared" si="1"/>
        <v>2078230.4999999998</v>
      </c>
    </row>
    <row r="34" spans="1:6" ht="56.25" x14ac:dyDescent="0.25">
      <c r="B34" s="5" t="s">
        <v>36</v>
      </c>
      <c r="C34" s="6" t="s">
        <v>24</v>
      </c>
      <c r="D34" s="7">
        <f>21.5+14.44</f>
        <v>35.94</v>
      </c>
      <c r="E34" s="18">
        <v>89055.900000000009</v>
      </c>
      <c r="F34" s="8">
        <f t="shared" si="1"/>
        <v>3200669.0460000001</v>
      </c>
    </row>
    <row r="35" spans="1:6" ht="45" x14ac:dyDescent="0.25">
      <c r="B35" s="5" t="s">
        <v>37</v>
      </c>
      <c r="C35" s="6" t="s">
        <v>2</v>
      </c>
      <c r="D35" s="7">
        <f>(6.92+6.8)*2.1</f>
        <v>28.811999999999998</v>
      </c>
      <c r="E35" s="18">
        <v>207546.18836363641</v>
      </c>
      <c r="F35" s="8">
        <f t="shared" si="1"/>
        <v>5979820.7791330917</v>
      </c>
    </row>
    <row r="36" spans="1:6" ht="67.5" x14ac:dyDescent="0.25">
      <c r="B36" s="19" t="s">
        <v>38</v>
      </c>
      <c r="C36" s="10" t="s">
        <v>2</v>
      </c>
      <c r="D36" s="11">
        <f>(13.9+2)*1.8</f>
        <v>28.62</v>
      </c>
      <c r="E36" s="20">
        <v>65902.320000000007</v>
      </c>
      <c r="F36" s="12">
        <f t="shared" si="1"/>
        <v>1886124.3984000003</v>
      </c>
    </row>
    <row r="37" spans="1:6" ht="67.5" x14ac:dyDescent="0.25">
      <c r="B37" s="9" t="s">
        <v>39</v>
      </c>
      <c r="C37" s="10" t="s">
        <v>2</v>
      </c>
      <c r="D37" s="11">
        <f>(2.22+0.71+1.46+1.87+1.4+0.6+2.6+2.3+0.3)*1.9</f>
        <v>25.574000000000002</v>
      </c>
      <c r="E37" s="20">
        <v>102441.60000000001</v>
      </c>
      <c r="F37" s="12">
        <f>D37*E37</f>
        <v>2619841.4784000004</v>
      </c>
    </row>
    <row r="38" spans="1:6" ht="23.25" x14ac:dyDescent="0.25">
      <c r="A38">
        <v>4</v>
      </c>
      <c r="B38" s="13" t="s">
        <v>40</v>
      </c>
      <c r="C38" s="14"/>
      <c r="D38" s="14"/>
      <c r="E38" s="15"/>
      <c r="F38" s="4"/>
    </row>
    <row r="39" spans="1:6" ht="56.25" x14ac:dyDescent="0.25">
      <c r="B39" s="17" t="s">
        <v>41</v>
      </c>
      <c r="C39" s="6" t="s">
        <v>24</v>
      </c>
      <c r="D39" s="7">
        <v>50.45</v>
      </c>
      <c r="E39" s="8">
        <v>33962.400000000001</v>
      </c>
      <c r="F39" s="8">
        <f t="shared" ref="F39:F48" si="2">D39*E39</f>
        <v>1713403.08</v>
      </c>
    </row>
    <row r="40" spans="1:6" ht="33.75" x14ac:dyDescent="0.25">
      <c r="B40" s="5" t="s">
        <v>42</v>
      </c>
      <c r="C40" s="6" t="s">
        <v>2</v>
      </c>
      <c r="D40" s="16">
        <f>(8.71+2.54+1.87+2.54)*2.9</f>
        <v>45.414000000000001</v>
      </c>
      <c r="E40" s="18">
        <v>32913</v>
      </c>
      <c r="F40" s="8">
        <f t="shared" si="2"/>
        <v>1494710.9820000001</v>
      </c>
    </row>
    <row r="41" spans="1:6" ht="56.25" x14ac:dyDescent="0.25">
      <c r="B41" s="5" t="s">
        <v>43</v>
      </c>
      <c r="C41" s="6" t="s">
        <v>2</v>
      </c>
      <c r="D41" s="16">
        <f>(2.47+2.27+2.89)*2.9</f>
        <v>22.127000000000002</v>
      </c>
      <c r="E41" s="18">
        <v>111885.9786</v>
      </c>
      <c r="F41" s="8">
        <f t="shared" si="2"/>
        <v>2475701.0484822001</v>
      </c>
    </row>
    <row r="42" spans="1:6" ht="56.25" x14ac:dyDescent="0.25">
      <c r="B42" s="5" t="s">
        <v>44</v>
      </c>
      <c r="C42" s="6" t="s">
        <v>2</v>
      </c>
      <c r="D42" s="7">
        <f>(9.99+1.6+1.87+1.15)*2.9</f>
        <v>42.369</v>
      </c>
      <c r="E42" s="18">
        <v>133049.22840000002</v>
      </c>
      <c r="F42" s="8">
        <f t="shared" si="2"/>
        <v>5637162.7580796005</v>
      </c>
    </row>
    <row r="43" spans="1:6" ht="67.5" x14ac:dyDescent="0.25">
      <c r="B43" s="5" t="s">
        <v>45</v>
      </c>
      <c r="C43" s="6" t="s">
        <v>24</v>
      </c>
      <c r="D43" s="7">
        <f>3*5</f>
        <v>15</v>
      </c>
      <c r="E43" s="18">
        <v>49275</v>
      </c>
      <c r="F43" s="8">
        <f t="shared" si="2"/>
        <v>739125</v>
      </c>
    </row>
    <row r="44" spans="1:6" ht="56.25" x14ac:dyDescent="0.25">
      <c r="B44" s="5" t="s">
        <v>46</v>
      </c>
      <c r="C44" s="6" t="s">
        <v>2</v>
      </c>
      <c r="D44" s="7">
        <v>3</v>
      </c>
      <c r="E44" s="18">
        <v>134535.65580000001</v>
      </c>
      <c r="F44" s="8">
        <f t="shared" si="2"/>
        <v>403606.96740000002</v>
      </c>
    </row>
    <row r="45" spans="1:6" ht="33.75" x14ac:dyDescent="0.25">
      <c r="B45" s="5" t="s">
        <v>47</v>
      </c>
      <c r="C45" s="6" t="s">
        <v>2</v>
      </c>
      <c r="D45" s="16">
        <f>35.51+35.12+12.29</f>
        <v>82.919999999999987</v>
      </c>
      <c r="E45" s="18">
        <v>12888</v>
      </c>
      <c r="F45" s="8">
        <f t="shared" si="2"/>
        <v>1068672.9599999997</v>
      </c>
    </row>
    <row r="46" spans="1:6" ht="56.25" x14ac:dyDescent="0.25">
      <c r="B46" s="5" t="s">
        <v>48</v>
      </c>
      <c r="C46" s="6" t="s">
        <v>2</v>
      </c>
      <c r="D46" s="16">
        <f>35.51+12.29</f>
        <v>47.8</v>
      </c>
      <c r="E46" s="18">
        <v>14247</v>
      </c>
      <c r="F46" s="8">
        <f t="shared" si="2"/>
        <v>681006.6</v>
      </c>
    </row>
    <row r="47" spans="1:6" ht="33.75" x14ac:dyDescent="0.25">
      <c r="B47" s="5" t="s">
        <v>49</v>
      </c>
      <c r="C47" s="6" t="s">
        <v>2</v>
      </c>
      <c r="D47" s="16">
        <f>35.12</f>
        <v>35.119999999999997</v>
      </c>
      <c r="E47" s="18">
        <v>13702.5</v>
      </c>
      <c r="F47" s="8">
        <f t="shared" si="2"/>
        <v>481231.8</v>
      </c>
    </row>
    <row r="48" spans="1:6" x14ac:dyDescent="0.25">
      <c r="B48" s="5" t="s">
        <v>50</v>
      </c>
      <c r="C48" s="6" t="s">
        <v>24</v>
      </c>
      <c r="D48" s="7">
        <v>35</v>
      </c>
      <c r="E48" s="18">
        <v>9585</v>
      </c>
      <c r="F48" s="8">
        <f t="shared" si="2"/>
        <v>335475</v>
      </c>
    </row>
    <row r="49" spans="1:6" x14ac:dyDescent="0.25">
      <c r="A49">
        <v>5</v>
      </c>
      <c r="B49" s="13" t="s">
        <v>51</v>
      </c>
      <c r="C49" s="14"/>
      <c r="D49" s="14"/>
      <c r="E49" s="15"/>
      <c r="F49" s="4"/>
    </row>
    <row r="50" spans="1:6" ht="56.25" x14ac:dyDescent="0.25">
      <c r="B50" s="5" t="s">
        <v>52</v>
      </c>
      <c r="C50" s="6" t="s">
        <v>2</v>
      </c>
      <c r="D50" s="7">
        <v>13.47</v>
      </c>
      <c r="E50" s="21">
        <v>71397.900000000009</v>
      </c>
      <c r="F50" s="8">
        <f>D50*E50</f>
        <v>961729.71300000011</v>
      </c>
    </row>
    <row r="51" spans="1:6" ht="78.75" x14ac:dyDescent="0.25">
      <c r="B51" s="5" t="s">
        <v>53</v>
      </c>
      <c r="C51" s="6" t="s">
        <v>2</v>
      </c>
      <c r="D51" s="7">
        <f>71.65+3.81+3.42</f>
        <v>78.88000000000001</v>
      </c>
      <c r="E51" s="21">
        <v>72297.900000000009</v>
      </c>
      <c r="F51" s="8">
        <f>D51*E51</f>
        <v>5702858.3520000018</v>
      </c>
    </row>
    <row r="52" spans="1:6" ht="33.75" x14ac:dyDescent="0.25">
      <c r="B52" s="5" t="s">
        <v>54</v>
      </c>
      <c r="C52" s="6" t="s">
        <v>5</v>
      </c>
      <c r="D52" s="7">
        <v>8</v>
      </c>
      <c r="E52" s="21">
        <v>61875</v>
      </c>
      <c r="F52" s="8">
        <f>D52*E52</f>
        <v>495000</v>
      </c>
    </row>
    <row r="53" spans="1:6" x14ac:dyDescent="0.25">
      <c r="A53">
        <v>6</v>
      </c>
      <c r="B53" s="13" t="s">
        <v>55</v>
      </c>
      <c r="C53" s="14"/>
      <c r="D53" s="14"/>
      <c r="E53" s="15"/>
      <c r="F53" s="4"/>
    </row>
    <row r="54" spans="1:6" ht="56.25" x14ac:dyDescent="0.25">
      <c r="B54" s="17" t="s">
        <v>56</v>
      </c>
      <c r="C54" s="6" t="s">
        <v>5</v>
      </c>
      <c r="D54" s="7">
        <v>1</v>
      </c>
      <c r="E54" s="8">
        <v>2503634.9020540542</v>
      </c>
      <c r="F54" s="8">
        <f t="shared" ref="F54:F71" si="3">D54*E54</f>
        <v>2503634.9020540542</v>
      </c>
    </row>
    <row r="55" spans="1:6" ht="33.75" x14ac:dyDescent="0.25">
      <c r="B55" s="17" t="s">
        <v>57</v>
      </c>
      <c r="C55" s="6" t="s">
        <v>5</v>
      </c>
      <c r="D55" s="7">
        <v>2</v>
      </c>
      <c r="E55" s="22">
        <v>145000</v>
      </c>
      <c r="F55" s="8">
        <f t="shared" si="3"/>
        <v>290000</v>
      </c>
    </row>
    <row r="56" spans="1:6" ht="78.75" x14ac:dyDescent="0.25">
      <c r="B56" s="17" t="s">
        <v>58</v>
      </c>
      <c r="C56" s="6" t="s">
        <v>5</v>
      </c>
      <c r="D56" s="7">
        <v>2</v>
      </c>
      <c r="E56" s="22">
        <v>165000</v>
      </c>
      <c r="F56" s="8">
        <f t="shared" si="3"/>
        <v>330000</v>
      </c>
    </row>
    <row r="57" spans="1:6" ht="78.75" x14ac:dyDescent="0.25">
      <c r="B57" s="17" t="s">
        <v>59</v>
      </c>
      <c r="C57" s="6" t="s">
        <v>5</v>
      </c>
      <c r="D57" s="7">
        <v>14</v>
      </c>
      <c r="E57" s="22">
        <v>115000</v>
      </c>
      <c r="F57" s="8">
        <f t="shared" si="3"/>
        <v>1610000</v>
      </c>
    </row>
    <row r="58" spans="1:6" ht="67.5" x14ac:dyDescent="0.25">
      <c r="B58" s="17" t="s">
        <v>60</v>
      </c>
      <c r="C58" s="6" t="s">
        <v>5</v>
      </c>
      <c r="D58" s="7">
        <v>17</v>
      </c>
      <c r="E58" s="22">
        <v>95000</v>
      </c>
      <c r="F58" s="8">
        <f t="shared" si="3"/>
        <v>1615000</v>
      </c>
    </row>
    <row r="59" spans="1:6" ht="67.5" x14ac:dyDescent="0.25">
      <c r="B59" s="17" t="s">
        <v>61</v>
      </c>
      <c r="C59" s="6" t="s">
        <v>5</v>
      </c>
      <c r="D59" s="16">
        <v>13</v>
      </c>
      <c r="E59" s="8">
        <v>46269</v>
      </c>
      <c r="F59" s="8">
        <f t="shared" si="3"/>
        <v>601497</v>
      </c>
    </row>
    <row r="60" spans="1:6" ht="78.75" x14ac:dyDescent="0.25">
      <c r="B60" s="17" t="s">
        <v>62</v>
      </c>
      <c r="C60" s="6" t="s">
        <v>5</v>
      </c>
      <c r="D60" s="7">
        <v>5</v>
      </c>
      <c r="E60" s="8">
        <v>45630</v>
      </c>
      <c r="F60" s="8">
        <f t="shared" si="3"/>
        <v>228150</v>
      </c>
    </row>
    <row r="61" spans="1:6" ht="45" x14ac:dyDescent="0.25">
      <c r="B61" s="19" t="s">
        <v>63</v>
      </c>
      <c r="C61" s="10" t="s">
        <v>5</v>
      </c>
      <c r="D61" s="11">
        <f>13+6</f>
        <v>19</v>
      </c>
      <c r="E61" s="12">
        <v>19509.3</v>
      </c>
      <c r="F61" s="12">
        <f t="shared" si="3"/>
        <v>370676.7</v>
      </c>
    </row>
    <row r="62" spans="1:6" ht="33.75" x14ac:dyDescent="0.25">
      <c r="B62" s="17" t="s">
        <v>64</v>
      </c>
      <c r="C62" s="6" t="s">
        <v>5</v>
      </c>
      <c r="D62" s="7">
        <v>4</v>
      </c>
      <c r="E62" s="8">
        <v>55393.628400000009</v>
      </c>
      <c r="F62" s="8">
        <f t="shared" si="3"/>
        <v>221574.51360000003</v>
      </c>
    </row>
    <row r="63" spans="1:6" ht="67.5" x14ac:dyDescent="0.25">
      <c r="B63" s="17" t="s">
        <v>65</v>
      </c>
      <c r="C63" s="6" t="s">
        <v>5</v>
      </c>
      <c r="D63" s="16">
        <v>1</v>
      </c>
      <c r="E63" s="8">
        <v>54463.860000000008</v>
      </c>
      <c r="F63" s="8">
        <f t="shared" si="3"/>
        <v>54463.860000000008</v>
      </c>
    </row>
    <row r="64" spans="1:6" ht="56.25" x14ac:dyDescent="0.25">
      <c r="B64" s="17" t="s">
        <v>66</v>
      </c>
      <c r="C64" s="6" t="s">
        <v>5</v>
      </c>
      <c r="D64" s="7">
        <v>1</v>
      </c>
      <c r="E64" s="8">
        <v>90450</v>
      </c>
      <c r="F64" s="8">
        <f t="shared" si="3"/>
        <v>90450</v>
      </c>
    </row>
    <row r="65" spans="1:6" ht="56.25" x14ac:dyDescent="0.25">
      <c r="B65" s="17" t="s">
        <v>67</v>
      </c>
      <c r="C65" s="6" t="s">
        <v>5</v>
      </c>
      <c r="D65" s="7">
        <v>2</v>
      </c>
      <c r="E65" s="8">
        <v>729313.92</v>
      </c>
      <c r="F65" s="8">
        <f t="shared" si="3"/>
        <v>1458627.84</v>
      </c>
    </row>
    <row r="66" spans="1:6" ht="56.25" x14ac:dyDescent="0.25">
      <c r="B66" s="17" t="s">
        <v>68</v>
      </c>
      <c r="C66" s="6" t="s">
        <v>5</v>
      </c>
      <c r="D66" s="7">
        <v>2</v>
      </c>
      <c r="E66" s="8">
        <v>342486</v>
      </c>
      <c r="F66" s="8">
        <f t="shared" si="3"/>
        <v>684972</v>
      </c>
    </row>
    <row r="67" spans="1:6" ht="56.25" x14ac:dyDescent="0.25">
      <c r="B67" s="17" t="s">
        <v>69</v>
      </c>
      <c r="C67" s="6" t="s">
        <v>5</v>
      </c>
      <c r="D67" s="7">
        <v>2</v>
      </c>
      <c r="E67" s="8">
        <v>665820</v>
      </c>
      <c r="F67" s="8">
        <f t="shared" si="3"/>
        <v>1331640</v>
      </c>
    </row>
    <row r="68" spans="1:6" ht="67.5" x14ac:dyDescent="0.25">
      <c r="B68" s="17" t="s">
        <v>70</v>
      </c>
      <c r="C68" s="6" t="s">
        <v>5</v>
      </c>
      <c r="D68" s="7">
        <v>1</v>
      </c>
      <c r="E68" s="8">
        <v>591480</v>
      </c>
      <c r="F68" s="8">
        <f t="shared" si="3"/>
        <v>591480</v>
      </c>
    </row>
    <row r="69" spans="1:6" ht="56.25" x14ac:dyDescent="0.25">
      <c r="B69" s="17" t="s">
        <v>71</v>
      </c>
      <c r="C69" s="6" t="s">
        <v>5</v>
      </c>
      <c r="D69" s="7">
        <v>2</v>
      </c>
      <c r="E69" s="8">
        <v>456966</v>
      </c>
      <c r="F69" s="8">
        <f t="shared" si="3"/>
        <v>913932</v>
      </c>
    </row>
    <row r="70" spans="1:6" ht="56.25" x14ac:dyDescent="0.25">
      <c r="B70" s="17" t="s">
        <v>72</v>
      </c>
      <c r="C70" s="6" t="s">
        <v>5</v>
      </c>
      <c r="D70" s="7">
        <v>1</v>
      </c>
      <c r="E70" s="8">
        <v>327776.40000000002</v>
      </c>
      <c r="F70" s="8">
        <f t="shared" si="3"/>
        <v>327776.40000000002</v>
      </c>
    </row>
    <row r="71" spans="1:6" ht="22.5" x14ac:dyDescent="0.25">
      <c r="B71" s="17" t="s">
        <v>73</v>
      </c>
      <c r="C71" s="6" t="s">
        <v>5</v>
      </c>
      <c r="D71" s="7">
        <v>1</v>
      </c>
      <c r="E71" s="8">
        <v>46173.599999999999</v>
      </c>
      <c r="F71" s="8">
        <f t="shared" si="3"/>
        <v>46173.599999999999</v>
      </c>
    </row>
    <row r="72" spans="1:6" x14ac:dyDescent="0.25">
      <c r="A72">
        <v>7</v>
      </c>
      <c r="B72" s="13" t="s">
        <v>74</v>
      </c>
      <c r="C72" s="14"/>
      <c r="D72" s="14"/>
      <c r="E72" s="15"/>
      <c r="F72" s="4"/>
    </row>
    <row r="73" spans="1:6" ht="45" x14ac:dyDescent="0.25">
      <c r="B73" s="17" t="s">
        <v>75</v>
      </c>
      <c r="C73" s="6" t="s">
        <v>5</v>
      </c>
      <c r="D73" s="7">
        <v>1</v>
      </c>
      <c r="E73" s="8">
        <v>2205000</v>
      </c>
      <c r="F73" s="8">
        <f t="shared" ref="F73:F93" si="4">D73*E73</f>
        <v>2205000</v>
      </c>
    </row>
    <row r="74" spans="1:6" ht="56.25" x14ac:dyDescent="0.25">
      <c r="B74" s="17" t="s">
        <v>76</v>
      </c>
      <c r="C74" s="6" t="s">
        <v>15</v>
      </c>
      <c r="D74" s="7">
        <v>1</v>
      </c>
      <c r="E74" s="8">
        <v>6768000</v>
      </c>
      <c r="F74" s="8">
        <f t="shared" si="4"/>
        <v>6768000</v>
      </c>
    </row>
    <row r="75" spans="1:6" ht="45" x14ac:dyDescent="0.25">
      <c r="B75" s="17" t="s">
        <v>77</v>
      </c>
      <c r="C75" s="6" t="s">
        <v>5</v>
      </c>
      <c r="D75" s="7">
        <v>1</v>
      </c>
      <c r="E75" s="8">
        <v>776094.2640000002</v>
      </c>
      <c r="F75" s="8">
        <f t="shared" si="4"/>
        <v>776094.2640000002</v>
      </c>
    </row>
    <row r="76" spans="1:6" x14ac:dyDescent="0.25">
      <c r="B76" s="17" t="s">
        <v>78</v>
      </c>
      <c r="C76" s="6" t="s">
        <v>5</v>
      </c>
      <c r="D76" s="7">
        <v>1</v>
      </c>
      <c r="E76" s="8">
        <v>2545272</v>
      </c>
      <c r="F76" s="8">
        <f t="shared" si="4"/>
        <v>2545272</v>
      </c>
    </row>
    <row r="77" spans="1:6" ht="56.25" x14ac:dyDescent="0.25">
      <c r="B77" s="17" t="s">
        <v>79</v>
      </c>
      <c r="C77" s="6" t="s">
        <v>5</v>
      </c>
      <c r="D77" s="7">
        <v>42</v>
      </c>
      <c r="E77" s="8">
        <v>165632.04900000003</v>
      </c>
      <c r="F77" s="8">
        <f t="shared" si="4"/>
        <v>6956546.0580000011</v>
      </c>
    </row>
    <row r="78" spans="1:6" ht="56.25" x14ac:dyDescent="0.25">
      <c r="B78" s="17" t="s">
        <v>80</v>
      </c>
      <c r="C78" s="6" t="s">
        <v>5</v>
      </c>
      <c r="D78" s="7">
        <v>14</v>
      </c>
      <c r="E78" s="8">
        <v>182005.83720000004</v>
      </c>
      <c r="F78" s="8">
        <f t="shared" si="4"/>
        <v>2548081.7208000007</v>
      </c>
    </row>
    <row r="79" spans="1:6" ht="56.25" x14ac:dyDescent="0.25">
      <c r="B79" s="17" t="s">
        <v>81</v>
      </c>
      <c r="C79" s="6" t="s">
        <v>5</v>
      </c>
      <c r="D79" s="7">
        <v>12</v>
      </c>
      <c r="E79" s="8">
        <v>176199.50700000004</v>
      </c>
      <c r="F79" s="8">
        <f t="shared" si="4"/>
        <v>2114394.0840000007</v>
      </c>
    </row>
    <row r="80" spans="1:6" ht="67.5" x14ac:dyDescent="0.25">
      <c r="B80" s="17" t="s">
        <v>82</v>
      </c>
      <c r="C80" s="6" t="s">
        <v>24</v>
      </c>
      <c r="D80" s="16">
        <v>220</v>
      </c>
      <c r="E80" s="8">
        <v>34447.5</v>
      </c>
      <c r="F80" s="8">
        <f t="shared" si="4"/>
        <v>7578450</v>
      </c>
    </row>
    <row r="81" spans="1:6" ht="45" x14ac:dyDescent="0.25">
      <c r="B81" s="17" t="s">
        <v>83</v>
      </c>
      <c r="C81" s="6" t="s">
        <v>5</v>
      </c>
      <c r="D81" s="7">
        <v>6</v>
      </c>
      <c r="E81" s="8">
        <v>643150.80000000005</v>
      </c>
      <c r="F81" s="8">
        <f t="shared" si="4"/>
        <v>3858904.8000000003</v>
      </c>
    </row>
    <row r="82" spans="1:6" ht="78.75" x14ac:dyDescent="0.25">
      <c r="B82" s="17" t="s">
        <v>84</v>
      </c>
      <c r="C82" s="6" t="s">
        <v>85</v>
      </c>
      <c r="D82" s="7">
        <v>3</v>
      </c>
      <c r="E82" s="8">
        <v>245443.5</v>
      </c>
      <c r="F82" s="8">
        <f t="shared" si="4"/>
        <v>736330.5</v>
      </c>
    </row>
    <row r="83" spans="1:6" ht="67.5" x14ac:dyDescent="0.25">
      <c r="B83" s="17" t="s">
        <v>86</v>
      </c>
      <c r="C83" s="6" t="s">
        <v>85</v>
      </c>
      <c r="D83" s="7">
        <v>1</v>
      </c>
      <c r="E83" s="8">
        <v>267525</v>
      </c>
      <c r="F83" s="8">
        <f t="shared" si="4"/>
        <v>267525</v>
      </c>
    </row>
    <row r="84" spans="1:6" ht="67.5" x14ac:dyDescent="0.25">
      <c r="B84" s="17" t="s">
        <v>87</v>
      </c>
      <c r="C84" s="6" t="s">
        <v>85</v>
      </c>
      <c r="D84" s="7">
        <v>1</v>
      </c>
      <c r="E84" s="8">
        <v>267525</v>
      </c>
      <c r="F84" s="8">
        <f t="shared" si="4"/>
        <v>267525</v>
      </c>
    </row>
    <row r="85" spans="1:6" ht="33.75" x14ac:dyDescent="0.25">
      <c r="B85" s="17" t="s">
        <v>88</v>
      </c>
      <c r="C85" s="6" t="s">
        <v>5</v>
      </c>
      <c r="D85" s="7">
        <f>45</f>
        <v>45</v>
      </c>
      <c r="E85" s="8">
        <v>144099.88263000001</v>
      </c>
      <c r="F85" s="8">
        <f t="shared" si="4"/>
        <v>6484494.7183500007</v>
      </c>
    </row>
    <row r="86" spans="1:6" ht="33.75" x14ac:dyDescent="0.25">
      <c r="B86" s="19" t="s">
        <v>89</v>
      </c>
      <c r="C86" s="10" t="s">
        <v>5</v>
      </c>
      <c r="D86" s="11">
        <v>13</v>
      </c>
      <c r="E86" s="12">
        <v>82425.600000000006</v>
      </c>
      <c r="F86" s="12">
        <f t="shared" si="4"/>
        <v>1071532.8</v>
      </c>
    </row>
    <row r="87" spans="1:6" ht="22.5" x14ac:dyDescent="0.25">
      <c r="B87" s="17" t="s">
        <v>90</v>
      </c>
      <c r="C87" s="6" t="s">
        <v>5</v>
      </c>
      <c r="D87" s="7">
        <v>25</v>
      </c>
      <c r="E87" s="8">
        <v>34344</v>
      </c>
      <c r="F87" s="8">
        <f t="shared" si="4"/>
        <v>858600</v>
      </c>
    </row>
    <row r="88" spans="1:6" ht="22.5" x14ac:dyDescent="0.25">
      <c r="B88" s="17" t="s">
        <v>91</v>
      </c>
      <c r="C88" s="6" t="s">
        <v>5</v>
      </c>
      <c r="D88" s="7">
        <v>4</v>
      </c>
      <c r="E88" s="8">
        <v>64317.726000000017</v>
      </c>
      <c r="F88" s="8">
        <f t="shared" si="4"/>
        <v>257270.90400000007</v>
      </c>
    </row>
    <row r="89" spans="1:6" ht="22.5" x14ac:dyDescent="0.25">
      <c r="B89" s="17" t="s">
        <v>92</v>
      </c>
      <c r="C89" s="6" t="s">
        <v>5</v>
      </c>
      <c r="D89" s="7">
        <v>1</v>
      </c>
      <c r="E89" s="8">
        <v>113578.66080000001</v>
      </c>
      <c r="F89" s="8">
        <f t="shared" si="4"/>
        <v>113578.66080000001</v>
      </c>
    </row>
    <row r="90" spans="1:6" ht="22.5" x14ac:dyDescent="0.25">
      <c r="B90" s="17" t="s">
        <v>93</v>
      </c>
      <c r="C90" s="6" t="s">
        <v>5</v>
      </c>
      <c r="D90" s="7">
        <v>2</v>
      </c>
      <c r="E90" s="8">
        <v>162630</v>
      </c>
      <c r="F90" s="8">
        <f t="shared" si="4"/>
        <v>325260</v>
      </c>
    </row>
    <row r="91" spans="1:6" ht="45" x14ac:dyDescent="0.25">
      <c r="B91" s="17" t="s">
        <v>94</v>
      </c>
      <c r="C91" s="6" t="s">
        <v>5</v>
      </c>
      <c r="D91" s="7">
        <v>2</v>
      </c>
      <c r="E91" s="8">
        <v>929429.99999999988</v>
      </c>
      <c r="F91" s="8">
        <f>D91*E91</f>
        <v>1858859.9999999998</v>
      </c>
    </row>
    <row r="92" spans="1:6" ht="22.5" x14ac:dyDescent="0.25">
      <c r="B92" s="17" t="s">
        <v>95</v>
      </c>
      <c r="C92" s="6" t="s">
        <v>5</v>
      </c>
      <c r="D92" s="7">
        <v>2</v>
      </c>
      <c r="E92" s="18">
        <v>71699.672583000007</v>
      </c>
      <c r="F92" s="8">
        <f t="shared" si="4"/>
        <v>143399.34516600001</v>
      </c>
    </row>
    <row r="93" spans="1:6" ht="22.5" x14ac:dyDescent="0.25">
      <c r="B93" s="17" t="s">
        <v>96</v>
      </c>
      <c r="C93" s="6" t="s">
        <v>5</v>
      </c>
      <c r="D93" s="7">
        <v>5</v>
      </c>
      <c r="E93" s="18">
        <v>79666.30287</v>
      </c>
      <c r="F93" s="8">
        <f t="shared" si="4"/>
        <v>398331.51435000001</v>
      </c>
    </row>
    <row r="94" spans="1:6" x14ac:dyDescent="0.25">
      <c r="A94">
        <v>8</v>
      </c>
      <c r="B94" s="13" t="s">
        <v>97</v>
      </c>
      <c r="C94" s="14"/>
      <c r="D94" s="14"/>
      <c r="E94" s="15"/>
      <c r="F94" s="4"/>
    </row>
    <row r="95" spans="1:6" ht="45" x14ac:dyDescent="0.25">
      <c r="B95" s="17" t="s">
        <v>98</v>
      </c>
      <c r="C95" s="6" t="s">
        <v>5</v>
      </c>
      <c r="D95" s="7">
        <v>5</v>
      </c>
      <c r="E95" s="21">
        <v>153618.51780000003</v>
      </c>
      <c r="F95" s="8">
        <f t="shared" ref="F95:F101" si="5">D95*E95</f>
        <v>768092.58900000015</v>
      </c>
    </row>
    <row r="96" spans="1:6" ht="90" x14ac:dyDescent="0.25">
      <c r="B96" s="17" t="s">
        <v>99</v>
      </c>
      <c r="C96" s="6" t="s">
        <v>5</v>
      </c>
      <c r="D96" s="7">
        <v>13</v>
      </c>
      <c r="E96" s="8">
        <v>427869</v>
      </c>
      <c r="F96" s="8">
        <f t="shared" si="5"/>
        <v>5562297</v>
      </c>
    </row>
    <row r="97" spans="1:6" ht="78.75" x14ac:dyDescent="0.25">
      <c r="B97" s="17" t="s">
        <v>100</v>
      </c>
      <c r="C97" s="6" t="s">
        <v>24</v>
      </c>
      <c r="D97" s="7">
        <v>19.75</v>
      </c>
      <c r="E97" s="8">
        <v>17649</v>
      </c>
      <c r="F97" s="8">
        <f t="shared" si="5"/>
        <v>348567.75</v>
      </c>
    </row>
    <row r="98" spans="1:6" ht="56.25" x14ac:dyDescent="0.25">
      <c r="B98" s="17" t="s">
        <v>101</v>
      </c>
      <c r="C98" s="6" t="s">
        <v>5</v>
      </c>
      <c r="D98" s="7">
        <v>10</v>
      </c>
      <c r="E98" s="8">
        <v>47336.4</v>
      </c>
      <c r="F98" s="8">
        <f t="shared" si="5"/>
        <v>473364</v>
      </c>
    </row>
    <row r="99" spans="1:6" ht="56.25" x14ac:dyDescent="0.25">
      <c r="B99" s="17" t="s">
        <v>102</v>
      </c>
      <c r="C99" s="6" t="s">
        <v>5</v>
      </c>
      <c r="D99" s="7">
        <v>14</v>
      </c>
      <c r="E99" s="8">
        <v>47336.4</v>
      </c>
      <c r="F99" s="8">
        <f t="shared" si="5"/>
        <v>662709.6</v>
      </c>
    </row>
    <row r="100" spans="1:6" ht="45" x14ac:dyDescent="0.25">
      <c r="B100" s="17" t="s">
        <v>103</v>
      </c>
      <c r="C100" s="6" t="s">
        <v>5</v>
      </c>
      <c r="D100" s="7">
        <v>2</v>
      </c>
      <c r="E100" s="8">
        <v>353250</v>
      </c>
      <c r="F100" s="8">
        <f t="shared" si="5"/>
        <v>706500</v>
      </c>
    </row>
    <row r="101" spans="1:6" ht="56.25" x14ac:dyDescent="0.25">
      <c r="B101" s="17" t="s">
        <v>104</v>
      </c>
      <c r="C101" s="6" t="s">
        <v>5</v>
      </c>
      <c r="D101" s="7">
        <v>4</v>
      </c>
      <c r="E101" s="8">
        <v>105462.00000000001</v>
      </c>
      <c r="F101" s="8">
        <f t="shared" si="5"/>
        <v>421848.00000000006</v>
      </c>
    </row>
    <row r="102" spans="1:6" ht="23.25" x14ac:dyDescent="0.25">
      <c r="A102">
        <v>9</v>
      </c>
      <c r="B102" s="13" t="s">
        <v>105</v>
      </c>
      <c r="C102" s="14"/>
      <c r="D102" s="14"/>
      <c r="E102" s="15"/>
      <c r="F102" s="23"/>
    </row>
    <row r="103" spans="1:6" ht="45" x14ac:dyDescent="0.25">
      <c r="B103" s="5" t="s">
        <v>106</v>
      </c>
      <c r="C103" s="6" t="s">
        <v>5</v>
      </c>
      <c r="D103" s="7">
        <v>1</v>
      </c>
      <c r="E103" s="21">
        <v>2043468</v>
      </c>
      <c r="F103" s="8">
        <f t="shared" ref="F103:F109" si="6">D103*E103</f>
        <v>2043468</v>
      </c>
    </row>
    <row r="104" spans="1:6" ht="45" x14ac:dyDescent="0.25">
      <c r="B104" s="5" t="s">
        <v>107</v>
      </c>
      <c r="C104" s="6" t="s">
        <v>15</v>
      </c>
      <c r="D104" s="7">
        <v>1</v>
      </c>
      <c r="E104" s="21">
        <v>1084507.2</v>
      </c>
      <c r="F104" s="8">
        <f t="shared" si="6"/>
        <v>1084507.2</v>
      </c>
    </row>
    <row r="105" spans="1:6" ht="45" x14ac:dyDescent="0.25">
      <c r="B105" s="5" t="s">
        <v>108</v>
      </c>
      <c r="C105" s="6" t="s">
        <v>5</v>
      </c>
      <c r="D105" s="7">
        <v>1</v>
      </c>
      <c r="E105" s="21">
        <v>2098800</v>
      </c>
      <c r="F105" s="8">
        <f t="shared" si="6"/>
        <v>2098800</v>
      </c>
    </row>
    <row r="106" spans="1:6" x14ac:dyDescent="0.25">
      <c r="B106" s="5" t="s">
        <v>109</v>
      </c>
      <c r="C106" s="6" t="s">
        <v>5</v>
      </c>
      <c r="D106" s="7">
        <v>1</v>
      </c>
      <c r="E106" s="21">
        <v>115606.10160000002</v>
      </c>
      <c r="F106" s="8">
        <f t="shared" si="6"/>
        <v>115606.10160000002</v>
      </c>
    </row>
    <row r="107" spans="1:6" ht="22.5" x14ac:dyDescent="0.25">
      <c r="B107" s="5" t="s">
        <v>110</v>
      </c>
      <c r="C107" s="6" t="s">
        <v>5</v>
      </c>
      <c r="D107" s="7">
        <v>12</v>
      </c>
      <c r="E107" s="21">
        <v>88912.278000000006</v>
      </c>
      <c r="F107" s="8">
        <f t="shared" si="6"/>
        <v>1066947.3360000001</v>
      </c>
    </row>
    <row r="108" spans="1:6" ht="22.5" x14ac:dyDescent="0.25">
      <c r="B108" s="5" t="s">
        <v>111</v>
      </c>
      <c r="C108" s="6" t="s">
        <v>24</v>
      </c>
      <c r="D108" s="7">
        <v>45</v>
      </c>
      <c r="E108" s="21">
        <v>107941.28400000003</v>
      </c>
      <c r="F108" s="8">
        <f t="shared" si="6"/>
        <v>4857357.7800000012</v>
      </c>
    </row>
    <row r="109" spans="1:6" ht="56.25" x14ac:dyDescent="0.25">
      <c r="B109" s="17" t="s">
        <v>112</v>
      </c>
      <c r="C109" s="6" t="s">
        <v>5</v>
      </c>
      <c r="D109" s="7">
        <v>1</v>
      </c>
      <c r="E109" s="8">
        <v>1908000</v>
      </c>
      <c r="F109" s="8">
        <f t="shared" si="6"/>
        <v>1908000</v>
      </c>
    </row>
    <row r="110" spans="1:6" x14ac:dyDescent="0.25">
      <c r="A110">
        <v>10</v>
      </c>
      <c r="B110" s="24" t="s">
        <v>113</v>
      </c>
      <c r="C110" s="25"/>
      <c r="D110" s="25"/>
      <c r="E110" s="26"/>
      <c r="F110" s="27">
        <f>D110*E110</f>
        <v>0</v>
      </c>
    </row>
    <row r="111" spans="1:6" ht="33.75" x14ac:dyDescent="0.25">
      <c r="B111" s="17" t="s">
        <v>114</v>
      </c>
      <c r="C111" s="6" t="s">
        <v>85</v>
      </c>
      <c r="D111" s="7">
        <v>11</v>
      </c>
      <c r="E111" s="8">
        <v>112090.61160000002</v>
      </c>
      <c r="F111" s="8">
        <f t="shared" ref="F111:F120" si="7">D111*E111</f>
        <v>1232996.7276000001</v>
      </c>
    </row>
    <row r="112" spans="1:6" ht="33.75" x14ac:dyDescent="0.25">
      <c r="B112" s="17" t="s">
        <v>115</v>
      </c>
      <c r="C112" s="6" t="s">
        <v>85</v>
      </c>
      <c r="D112" s="16">
        <v>16</v>
      </c>
      <c r="E112" s="8">
        <v>112090.61160000002</v>
      </c>
      <c r="F112" s="8">
        <f t="shared" si="7"/>
        <v>1793449.7856000003</v>
      </c>
    </row>
    <row r="113" spans="1:6" ht="56.25" x14ac:dyDescent="0.25">
      <c r="B113" s="17" t="s">
        <v>116</v>
      </c>
      <c r="C113" s="6" t="s">
        <v>24</v>
      </c>
      <c r="D113" s="7">
        <v>400</v>
      </c>
      <c r="E113" s="8">
        <v>9648</v>
      </c>
      <c r="F113" s="8">
        <f t="shared" si="7"/>
        <v>3859200</v>
      </c>
    </row>
    <row r="114" spans="1:6" ht="22.5" x14ac:dyDescent="0.25">
      <c r="B114" s="17" t="s">
        <v>117</v>
      </c>
      <c r="C114" s="6" t="s">
        <v>5</v>
      </c>
      <c r="D114" s="7">
        <v>1</v>
      </c>
      <c r="E114" s="8">
        <v>738540.00000000012</v>
      </c>
      <c r="F114" s="8">
        <f t="shared" si="7"/>
        <v>738540.00000000012</v>
      </c>
    </row>
    <row r="115" spans="1:6" ht="22.5" x14ac:dyDescent="0.25">
      <c r="B115" s="17" t="s">
        <v>118</v>
      </c>
      <c r="C115" s="6" t="s">
        <v>5</v>
      </c>
      <c r="D115" s="7">
        <v>1</v>
      </c>
      <c r="E115" s="8">
        <v>81000.03780000002</v>
      </c>
      <c r="F115" s="8">
        <f t="shared" si="7"/>
        <v>81000.03780000002</v>
      </c>
    </row>
    <row r="116" spans="1:6" ht="22.5" x14ac:dyDescent="0.25">
      <c r="B116" s="17" t="s">
        <v>119</v>
      </c>
      <c r="C116" s="6" t="s">
        <v>5</v>
      </c>
      <c r="D116" s="7">
        <v>2</v>
      </c>
      <c r="E116" s="8">
        <v>176199.50700000004</v>
      </c>
      <c r="F116" s="8">
        <f t="shared" si="7"/>
        <v>352399.01400000008</v>
      </c>
    </row>
    <row r="117" spans="1:6" ht="56.25" x14ac:dyDescent="0.25">
      <c r="B117" s="17" t="s">
        <v>120</v>
      </c>
      <c r="C117" s="6" t="s">
        <v>5</v>
      </c>
      <c r="D117" s="7">
        <v>1</v>
      </c>
      <c r="E117" s="8">
        <v>285326.61300000001</v>
      </c>
      <c r="F117" s="8">
        <f t="shared" si="7"/>
        <v>285326.61300000001</v>
      </c>
    </row>
    <row r="118" spans="1:6" ht="33.75" x14ac:dyDescent="0.25">
      <c r="B118" s="17" t="s">
        <v>121</v>
      </c>
      <c r="C118" s="6" t="s">
        <v>5</v>
      </c>
      <c r="D118" s="7">
        <v>1</v>
      </c>
      <c r="E118" s="8">
        <v>459562.43025000003</v>
      </c>
      <c r="F118" s="8">
        <f t="shared" si="7"/>
        <v>459562.43025000003</v>
      </c>
    </row>
    <row r="119" spans="1:6" ht="33.75" x14ac:dyDescent="0.25">
      <c r="B119" s="17" t="s">
        <v>122</v>
      </c>
      <c r="C119" s="6" t="s">
        <v>5</v>
      </c>
      <c r="D119" s="16">
        <v>7</v>
      </c>
      <c r="E119" s="8">
        <v>19310.895</v>
      </c>
      <c r="F119" s="8">
        <f t="shared" si="7"/>
        <v>135176.26500000001</v>
      </c>
    </row>
    <row r="120" spans="1:6" x14ac:dyDescent="0.25">
      <c r="B120" s="17" t="s">
        <v>123</v>
      </c>
      <c r="C120" s="6" t="s">
        <v>5</v>
      </c>
      <c r="D120" s="16">
        <v>11</v>
      </c>
      <c r="E120" s="8">
        <v>35427.744000000006</v>
      </c>
      <c r="F120" s="8">
        <f t="shared" si="7"/>
        <v>389705.18400000007</v>
      </c>
    </row>
    <row r="121" spans="1:6" x14ac:dyDescent="0.25">
      <c r="A121">
        <v>11</v>
      </c>
      <c r="B121" s="24" t="s">
        <v>124</v>
      </c>
      <c r="C121" s="25"/>
      <c r="D121" s="25"/>
      <c r="E121" s="26"/>
      <c r="F121" s="27"/>
    </row>
    <row r="122" spans="1:6" ht="45" x14ac:dyDescent="0.25">
      <c r="B122" s="17" t="s">
        <v>125</v>
      </c>
      <c r="C122" s="6" t="s">
        <v>15</v>
      </c>
      <c r="D122" s="7">
        <v>1</v>
      </c>
      <c r="E122" s="8">
        <v>4284000</v>
      </c>
      <c r="F122" s="8">
        <f>D122*E122</f>
        <v>4284000</v>
      </c>
    </row>
    <row r="123" spans="1:6" x14ac:dyDescent="0.25">
      <c r="B123" s="17" t="s">
        <v>126</v>
      </c>
      <c r="C123" s="6" t="s">
        <v>15</v>
      </c>
      <c r="D123" s="7">
        <v>1</v>
      </c>
      <c r="E123" s="8">
        <v>238500</v>
      </c>
      <c r="F123" s="8">
        <f t="shared" ref="F123:F129" si="8">D123*E123</f>
        <v>238500</v>
      </c>
    </row>
    <row r="124" spans="1:6" ht="45" x14ac:dyDescent="0.25">
      <c r="B124" s="17" t="s">
        <v>127</v>
      </c>
      <c r="C124" s="6" t="s">
        <v>15</v>
      </c>
      <c r="D124" s="7">
        <v>1</v>
      </c>
      <c r="E124" s="8">
        <v>2019653.9999999995</v>
      </c>
      <c r="F124" s="8">
        <f t="shared" si="8"/>
        <v>2019653.9999999995</v>
      </c>
    </row>
    <row r="125" spans="1:6" ht="45" x14ac:dyDescent="0.25">
      <c r="B125" s="17" t="s">
        <v>128</v>
      </c>
      <c r="C125" s="6" t="s">
        <v>15</v>
      </c>
      <c r="D125" s="7">
        <v>1</v>
      </c>
      <c r="E125" s="8">
        <v>546300</v>
      </c>
      <c r="F125" s="8">
        <f t="shared" si="8"/>
        <v>546300</v>
      </c>
    </row>
    <row r="126" spans="1:6" ht="112.5" x14ac:dyDescent="0.25">
      <c r="B126" s="17" t="s">
        <v>129</v>
      </c>
      <c r="C126" s="6" t="s">
        <v>130</v>
      </c>
      <c r="D126" s="7">
        <v>10</v>
      </c>
      <c r="E126" s="8">
        <v>171864.49793059289</v>
      </c>
      <c r="F126" s="8">
        <f t="shared" si="8"/>
        <v>1718644.9793059288</v>
      </c>
    </row>
    <row r="127" spans="1:6" ht="33.75" x14ac:dyDescent="0.25">
      <c r="B127" s="17" t="s">
        <v>131</v>
      </c>
      <c r="C127" s="6" t="s">
        <v>132</v>
      </c>
      <c r="D127" s="7">
        <v>5</v>
      </c>
      <c r="E127" s="8">
        <v>522000</v>
      </c>
      <c r="F127" s="8">
        <f t="shared" si="8"/>
        <v>2610000</v>
      </c>
    </row>
    <row r="128" spans="1:6" ht="33.75" x14ac:dyDescent="0.25">
      <c r="B128" s="17" t="s">
        <v>133</v>
      </c>
      <c r="C128" s="6" t="s">
        <v>134</v>
      </c>
      <c r="D128" s="7">
        <v>5</v>
      </c>
      <c r="E128" s="8">
        <v>881303.39100000006</v>
      </c>
      <c r="F128" s="8">
        <f t="shared" si="8"/>
        <v>4406516.9550000001</v>
      </c>
    </row>
    <row r="129" spans="2:6" ht="33.75" x14ac:dyDescent="0.25">
      <c r="B129" s="17" t="s">
        <v>135</v>
      </c>
      <c r="C129" s="6" t="s">
        <v>134</v>
      </c>
      <c r="D129" s="16">
        <v>5</v>
      </c>
      <c r="E129" s="8">
        <v>661500</v>
      </c>
      <c r="F129" s="8">
        <f t="shared" si="8"/>
        <v>3307500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Riveros</dc:creator>
  <cp:lastModifiedBy>Laura Riveros</cp:lastModifiedBy>
  <dcterms:created xsi:type="dcterms:W3CDTF">2026-06-04T02:00:26Z</dcterms:created>
  <dcterms:modified xsi:type="dcterms:W3CDTF">2026-06-04T02:05:58Z</dcterms:modified>
</cp:coreProperties>
</file>