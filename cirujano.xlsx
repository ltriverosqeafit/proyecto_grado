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19C6A76B-B0A1-4EC2-9C27-762143255BFF}" xr6:coauthVersionLast="47" xr6:coauthVersionMax="47" xr10:uidLastSave="{00000000-0000-0000-0000-000000000000}"/>
  <bookViews>
    <workbookView xWindow="-120" yWindow="-120" windowWidth="29040" windowHeight="15720" xr2:uid="{2047A3FA-6777-4251-80A0-A099FA0B46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0" i="1" l="1"/>
  <c r="D85" i="1"/>
  <c r="D84" i="1"/>
  <c r="D83" i="1"/>
  <c r="D81" i="1"/>
  <c r="D80" i="1"/>
  <c r="D79" i="1"/>
  <c r="D78" i="1"/>
  <c r="D62" i="1"/>
  <c r="D24" i="1"/>
  <c r="D22" i="1"/>
  <c r="D20" i="1"/>
  <c r="D17" i="1"/>
  <c r="D4" i="1"/>
  <c r="E88" i="1"/>
  <c r="E79" i="1"/>
  <c r="E18" i="1"/>
  <c r="I90" i="1"/>
  <c r="I85" i="1"/>
  <c r="I84" i="1"/>
  <c r="I83" i="1"/>
  <c r="I81" i="1"/>
  <c r="I80" i="1"/>
  <c r="I79" i="1"/>
  <c r="I78" i="1"/>
  <c r="I62" i="1"/>
  <c r="I24" i="1"/>
  <c r="I22" i="1"/>
  <c r="I20" i="1"/>
  <c r="I17" i="1"/>
  <c r="I4" i="1"/>
  <c r="F101" i="1"/>
  <c r="F100" i="1"/>
  <c r="F98" i="1"/>
  <c r="F97" i="1"/>
  <c r="F96" i="1"/>
  <c r="F95" i="1"/>
  <c r="F93" i="1"/>
  <c r="F91" i="1"/>
  <c r="F89" i="1"/>
  <c r="F87" i="1"/>
  <c r="F86" i="1"/>
  <c r="F82" i="1"/>
  <c r="F77" i="1"/>
  <c r="F76" i="1"/>
  <c r="F74" i="1"/>
  <c r="F73" i="1"/>
  <c r="F72" i="1"/>
  <c r="F71" i="1"/>
  <c r="F70" i="1"/>
  <c r="F69" i="1"/>
  <c r="F68" i="1"/>
  <c r="F67" i="1"/>
  <c r="F65" i="1"/>
  <c r="F64" i="1"/>
  <c r="F63" i="1"/>
  <c r="F62" i="1"/>
  <c r="F61" i="1"/>
  <c r="F58" i="1"/>
  <c r="F56" i="1"/>
  <c r="F54" i="1"/>
  <c r="F50" i="1"/>
  <c r="F49" i="1"/>
  <c r="F46" i="1"/>
  <c r="F45" i="1"/>
  <c r="F44" i="1"/>
  <c r="F43" i="1"/>
  <c r="F42" i="1"/>
  <c r="F40" i="1"/>
  <c r="F39" i="1"/>
  <c r="F38" i="1"/>
  <c r="F37" i="1"/>
  <c r="F36" i="1"/>
  <c r="F32" i="1"/>
  <c r="F31" i="1"/>
  <c r="F30" i="1"/>
  <c r="F29" i="1"/>
  <c r="F27" i="1"/>
  <c r="F26" i="1"/>
  <c r="F25" i="1"/>
  <c r="F23" i="1"/>
  <c r="F19" i="1"/>
  <c r="F15" i="1"/>
  <c r="F14" i="1"/>
  <c r="F13" i="1"/>
  <c r="F12" i="1"/>
  <c r="F11" i="1"/>
  <c r="F10" i="1"/>
  <c r="F9" i="1"/>
  <c r="F8" i="1"/>
  <c r="F7" i="1"/>
  <c r="F6" i="1"/>
  <c r="F5" i="1"/>
  <c r="F3" i="1"/>
  <c r="F24" i="1" l="1"/>
  <c r="F22" i="1"/>
  <c r="F20" i="1"/>
  <c r="F18" i="1"/>
  <c r="F17" i="1"/>
  <c r="F4" i="1"/>
  <c r="F78" i="1"/>
  <c r="F90" i="1"/>
  <c r="F88" i="1"/>
  <c r="F85" i="1"/>
  <c r="F84" i="1"/>
  <c r="F83" i="1"/>
  <c r="F81" i="1"/>
  <c r="F80" i="1"/>
  <c r="F79" i="1"/>
  <c r="F102" i="1" l="1"/>
  <c r="F105" i="1" l="1"/>
  <c r="F106" i="1" s="1"/>
  <c r="F104" i="1"/>
  <c r="F103" i="1"/>
  <c r="F10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225F51BF-5111-47C3-92C9-B178A10955C2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<sst xmlns="http://schemas.openxmlformats.org/spreadsheetml/2006/main" count="265" uniqueCount="176">
  <si>
    <t>Un</t>
  </si>
  <si>
    <t>PRELIMINARES</t>
  </si>
  <si>
    <t>Localización y replanteo general</t>
  </si>
  <si>
    <t>M2</t>
  </si>
  <si>
    <t>Demolición de muros de drywall</t>
  </si>
  <si>
    <t>Desmonte de piso con guarda escobas</t>
  </si>
  <si>
    <t>Desmonte de tabla contra ventana</t>
  </si>
  <si>
    <t>GL</t>
  </si>
  <si>
    <t>Retiro de muebles</t>
  </si>
  <si>
    <t>Desmonte de redes hidrosanitarias antiguas</t>
  </si>
  <si>
    <t>Regata en muros y pisos</t>
  </si>
  <si>
    <t>ML</t>
  </si>
  <si>
    <t>Arreglos en oficina 807 en caso de ser necesario</t>
  </si>
  <si>
    <t>Desmonte de puertas sencilla</t>
  </si>
  <si>
    <t>UN</t>
  </si>
  <si>
    <t>Desmonte de redes eléctricas y de datos existentes</t>
  </si>
  <si>
    <t>Material protección</t>
  </si>
  <si>
    <t>Movimiento de materiales</t>
  </si>
  <si>
    <t>Dia</t>
  </si>
  <si>
    <t>Retiro de escombros</t>
  </si>
  <si>
    <t>MAMPOSTERIAS</t>
  </si>
  <si>
    <t>2.01</t>
  </si>
  <si>
    <t xml:space="preserve">Muros en Dry Wall dos caras </t>
  </si>
  <si>
    <t>2.02</t>
  </si>
  <si>
    <t>2.03</t>
  </si>
  <si>
    <t>Muros mixto dos caras</t>
  </si>
  <si>
    <t>2.04</t>
  </si>
  <si>
    <t xml:space="preserve">Dinteles en drywall </t>
  </si>
  <si>
    <t>PAÑETES - ENCHAPES - CIELORASOS</t>
  </si>
  <si>
    <t>3.01</t>
  </si>
  <si>
    <t>Filos de muros y columnas</t>
  </si>
  <si>
    <t>3.02</t>
  </si>
  <si>
    <t>Resanes de regatas en muros y pisos</t>
  </si>
  <si>
    <t>3.03</t>
  </si>
  <si>
    <t>instalación de enchapes según diseño</t>
  </si>
  <si>
    <t>3.04</t>
  </si>
  <si>
    <t>Suministro he instalación de media caña</t>
  </si>
  <si>
    <t>3.05</t>
  </si>
  <si>
    <t>Cielorraso en Drywall</t>
  </si>
  <si>
    <t>3.06</t>
  </si>
  <si>
    <t>Reforzamiento cielo raso y muros para vidrios y puertas</t>
  </si>
  <si>
    <t>4.00</t>
  </si>
  <si>
    <t>PISOS</t>
  </si>
  <si>
    <t>4.01</t>
  </si>
  <si>
    <t>Alistado de piso</t>
  </si>
  <si>
    <t>4.02</t>
  </si>
  <si>
    <t>4.03</t>
  </si>
  <si>
    <t>Suministro e instalación media caña en piso</t>
  </si>
  <si>
    <t>4.04</t>
  </si>
  <si>
    <t>Suministro e instalación de guarda escoba aglomerado  según referencia</t>
  </si>
  <si>
    <t>INSTALACION ELECTRICA  Y DATOS</t>
  </si>
  <si>
    <t>Salidas para para alumbrado</t>
  </si>
  <si>
    <r>
      <t xml:space="preserve">Toda la tubería será PVC. La tubería será sobre puesta en techos y muros. Se incluye tubería, accesorios, cajas, prensa estopa, conductores tipo cable THHN/THWN LSHF, </t>
    </r>
    <r>
      <rPr>
        <b/>
        <sz val="9"/>
        <color rgb="FF000000"/>
        <rFont val="Century Gothic"/>
        <family val="2"/>
      </rPr>
      <t>NO SE INCLUYE SUMINISTRO DE LUMINARIA_x000D_</t>
    </r>
  </si>
  <si>
    <t>5.01.1</t>
  </si>
  <si>
    <t>Salida para luminaria lineal cinta led</t>
  </si>
  <si>
    <t>5.01.2</t>
  </si>
  <si>
    <t>Salida para luminaria lineal colgante</t>
  </si>
  <si>
    <t>5.01.3</t>
  </si>
  <si>
    <t>Salida para balas recesadas pequeñas dobles</t>
  </si>
  <si>
    <t>5.01.4</t>
  </si>
  <si>
    <t>Salida para interruptores dobles</t>
  </si>
  <si>
    <t>5.01.5</t>
  </si>
  <si>
    <t>Salida para luz hermética</t>
  </si>
  <si>
    <t>Instalación de luminarias (INCLUYE SUMINISTRO)</t>
  </si>
  <si>
    <t>5.01.6</t>
  </si>
  <si>
    <t>Instalación de luminaria lineal cinta led ( INCLUYE SUMINISTRO)</t>
  </si>
  <si>
    <t>5.01.7</t>
  </si>
  <si>
    <t>Instalación de luminaria lineal colgante especial(INCLUYE SUMINISTRO)</t>
  </si>
  <si>
    <t>5.01.8</t>
  </si>
  <si>
    <t>Suministro e instalación de luz hermética</t>
  </si>
  <si>
    <t>5.01.9</t>
  </si>
  <si>
    <t>instalación iluminaria  balas recesadas (INCLUYE SUMINISTRO)</t>
  </si>
  <si>
    <t>5.01.10</t>
  </si>
  <si>
    <t>Instalación de interruptores dobles (INCLUYE SUMINISTRO)</t>
  </si>
  <si>
    <t>Salidas para tomacorrientes</t>
  </si>
  <si>
    <t>La tubería será sobrepuesta bajo placa y en muros y/o pisos. Incluye toma y caja y conductores tipo cable THHN/THWN LSHF</t>
  </si>
  <si>
    <t>5.02.1</t>
  </si>
  <si>
    <t>Salida para tomacorriente red normal doble Nema 5-15R 120VAC Levitón standard color blanco o similar en tubería</t>
  </si>
  <si>
    <t>5.02.2</t>
  </si>
  <si>
    <t>Salida para tomacorriente red GFCI Nema 5-15R 120VAC Levitón standard color blanco o similar en tubería</t>
  </si>
  <si>
    <t>Sistema de telecomunicaciones, control de acceso, CCTV</t>
  </si>
  <si>
    <t>Telecomunicaciones</t>
  </si>
  <si>
    <t>Toda la tubería será PVC. La tubería PVC será sobre puesta bajo placa y en muros o pisos, incluye Jack faceplate, marquillado</t>
  </si>
  <si>
    <t>5.03.1</t>
  </si>
  <si>
    <t>Salida para punto de datos en CAT 6</t>
  </si>
  <si>
    <t>5.04</t>
  </si>
  <si>
    <t xml:space="preserve"> ELECTRICO</t>
  </si>
  <si>
    <t>5.04.1</t>
  </si>
  <si>
    <t>movimiento de Tablero ELECTRICO</t>
  </si>
  <si>
    <t>6.00</t>
  </si>
  <si>
    <t>CARPINTERIAS ALUMINIO + CRISTALES</t>
  </si>
  <si>
    <t>6.01</t>
  </si>
  <si>
    <t>Pintura negra en perfiles de ventana</t>
  </si>
  <si>
    <t>SUBTOTAL CARPINTERIAS</t>
  </si>
  <si>
    <t>7.00</t>
  </si>
  <si>
    <t>PINTURA GENERAL</t>
  </si>
  <si>
    <t>7.01</t>
  </si>
  <si>
    <t>Pañete</t>
  </si>
  <si>
    <t>7.02</t>
  </si>
  <si>
    <t>Pintura vinílica</t>
  </si>
  <si>
    <t>7.03</t>
  </si>
  <si>
    <t>7.04</t>
  </si>
  <si>
    <t>Pintura vinílica blanca en cielorraso</t>
  </si>
  <si>
    <t>7.05</t>
  </si>
  <si>
    <t>Resanes finales de pintura para instalación de mobiliario</t>
  </si>
  <si>
    <t>1.00</t>
  </si>
  <si>
    <t>Hidrosanitario</t>
  </si>
  <si>
    <t>1.01</t>
  </si>
  <si>
    <t>Salida Desague 3"</t>
  </si>
  <si>
    <t>1.02</t>
  </si>
  <si>
    <t>Salida Desague 2"</t>
  </si>
  <si>
    <t>1.03</t>
  </si>
  <si>
    <t>Salid suministro 1/2"</t>
  </si>
  <si>
    <t>1.04</t>
  </si>
  <si>
    <t>tubería sanitaria 3"</t>
  </si>
  <si>
    <t>m</t>
  </si>
  <si>
    <t>1.05</t>
  </si>
  <si>
    <t>tubería sanitaria 2"</t>
  </si>
  <si>
    <t>1.06</t>
  </si>
  <si>
    <t>tubería PVCP 1/2"</t>
  </si>
  <si>
    <t>1.07</t>
  </si>
  <si>
    <t>Regata</t>
  </si>
  <si>
    <t>1.08</t>
  </si>
  <si>
    <t>Instalación Sanitario Suspendido</t>
  </si>
  <si>
    <t>2.00</t>
  </si>
  <si>
    <t>Muros</t>
  </si>
  <si>
    <t>Desmonte y reubicación de estructura techo Dryw</t>
  </si>
  <si>
    <t>m2</t>
  </si>
  <si>
    <t>Frescasa muros y techos</t>
  </si>
  <si>
    <t>Muro en Dry wall 1 cara</t>
  </si>
  <si>
    <t>Muro en drywall 1 cara</t>
  </si>
  <si>
    <t>ml</t>
  </si>
  <si>
    <t>2.05</t>
  </si>
  <si>
    <t>Muro en superboard 1 cara</t>
  </si>
  <si>
    <t>2.06</t>
  </si>
  <si>
    <t>Desmonte y reubicación de estructura techo drywall sala de espera</t>
  </si>
  <si>
    <t>2.07</t>
  </si>
  <si>
    <t>Nicho drywall  soporte tv sala de espera</t>
  </si>
  <si>
    <t>2.08</t>
  </si>
  <si>
    <t>2.09</t>
  </si>
  <si>
    <t>Reforzamiento muros para muebles</t>
  </si>
  <si>
    <t>2.10</t>
  </si>
  <si>
    <t>2.11</t>
  </si>
  <si>
    <t>Muro en Dry wall 1 cara sala de espera</t>
  </si>
  <si>
    <t>2.12</t>
  </si>
  <si>
    <t>Poyo en drywall</t>
  </si>
  <si>
    <t>2.13</t>
  </si>
  <si>
    <t>Demolición enchape toma de piso</t>
  </si>
  <si>
    <t>2.14</t>
  </si>
  <si>
    <t>2.15</t>
  </si>
  <si>
    <t>Estuco regata muros</t>
  </si>
  <si>
    <t>2.16</t>
  </si>
  <si>
    <t>Enchepe 20x20 Zona Poceta</t>
  </si>
  <si>
    <t>3.00</t>
  </si>
  <si>
    <t>Piso</t>
  </si>
  <si>
    <t>Alistado de Piso</t>
  </si>
  <si>
    <t>Eléctrico</t>
  </si>
  <si>
    <t xml:space="preserve">Reubicación toma wc minusvalido </t>
  </si>
  <si>
    <t>un</t>
  </si>
  <si>
    <t>Reubicación toma sala de espera en un costado del nicho soporte tv sala de espera</t>
  </si>
  <si>
    <t>Salida para tomacorriente red normal blackout</t>
  </si>
  <si>
    <t>Salida para luminaria lineal cinta led recepción</t>
  </si>
  <si>
    <t>Otros</t>
  </si>
  <si>
    <t>Poceta cuarto de servicio</t>
  </si>
  <si>
    <t>Acabado Covertex  tipo microcemento</t>
  </si>
  <si>
    <t>Costo Directo</t>
  </si>
  <si>
    <t>Administración</t>
  </si>
  <si>
    <t>Imprevistos</t>
  </si>
  <si>
    <t>utilidad</t>
  </si>
  <si>
    <t>Iva sobre Utilidad</t>
  </si>
  <si>
    <t>Total</t>
  </si>
  <si>
    <t>item</t>
  </si>
  <si>
    <t>descripcion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</si>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</sst>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"/>
    <numFmt numFmtId="165" formatCode="_-&quot;$&quot;* #,##0_-;\-&quot;$&quot;* #,##0_-;_-&quot;$&quot;* &quot;-&quot;_-;_-@"/>
    <numFmt numFmtId="166" formatCode="_-&quot;$&quot;* #,##0_-;\-&quot;$&quot;* #,##0_-;_-&quot;$&quot;* &quot;-&quot;??_-;_-@"/>
    <numFmt numFmtId="167" formatCode="&quot;$&quot;#,##0_);[Red]\(&quot;$&quot;#,##0\)"/>
    <numFmt numFmtId="168" formatCode="d&quot; de &quot;mmm&quot; de &quot;yy"/>
    <numFmt numFmtId="170" formatCode="_(* #,##0_);_(* \(#,##0\);_(* \-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9"/>
      <color rgb="FF000000"/>
      <name val="Century Gothic"/>
      <family val="2"/>
    </font>
    <font>
      <sz val="9"/>
      <color rgb="FF000000"/>
      <name val="Century Gothic"/>
      <family val="2"/>
    </font>
    <font>
      <sz val="9"/>
      <color theme="1"/>
      <name val="Century Gothic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4A1A"/>
        <bgColor indexed="64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166" fontId="5" fillId="0" borderId="1" xfId="0" applyNumberFormat="1" applyFont="1" applyBorder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7" fontId="7" fillId="0" borderId="1" xfId="0" applyNumberFormat="1" applyFont="1" applyBorder="1" applyAlignment="1">
      <alignment horizontal="right" vertical="center" readingOrder="1"/>
    </xf>
    <xf numFmtId="167" fontId="7" fillId="0" borderId="1" xfId="0" applyNumberFormat="1" applyFont="1" applyBorder="1" applyAlignment="1">
      <alignment vertical="center" readingOrder="1"/>
    </xf>
    <xf numFmtId="167" fontId="4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vertical="center"/>
    </xf>
    <xf numFmtId="9" fontId="7" fillId="0" borderId="1" xfId="1" applyFont="1" applyBorder="1" applyAlignment="1">
      <alignment horizontal="center" vertical="center"/>
    </xf>
    <xf numFmtId="165" fontId="7" fillId="0" borderId="1" xfId="0" applyNumberFormat="1" applyFont="1" applyBorder="1" applyAlignment="1">
      <alignment vertical="center"/>
    </xf>
    <xf numFmtId="49" fontId="8" fillId="3" borderId="5" xfId="0" applyNumberFormat="1" applyFont="1" applyFill="1" applyBorder="1" applyAlignment="1">
      <alignment vertical="center"/>
    </xf>
    <xf numFmtId="168" fontId="8" fillId="3" borderId="6" xfId="0" applyNumberFormat="1" applyFont="1" applyFill="1" applyBorder="1" applyAlignment="1">
      <alignment vertical="center" wrapText="1"/>
    </xf>
    <xf numFmtId="49" fontId="8" fillId="3" borderId="6" xfId="0" applyNumberFormat="1" applyFont="1" applyFill="1" applyBorder="1" applyAlignment="1">
      <alignment horizontal="center" vertical="center"/>
    </xf>
    <xf numFmtId="170" fontId="8" fillId="3" borderId="6" xfId="0" applyNumberFormat="1" applyFont="1" applyFill="1" applyBorder="1" applyAlignment="1">
      <alignment horizontal="center" vertical="center"/>
    </xf>
    <xf numFmtId="3" fontId="8" fillId="3" borderId="6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045E-7FAD-4306-B8D6-7AFA2FA1B0D8}">
  <dimension ref="A1:I107"/>
  <sheetViews>
    <sheetView tabSelected="1" workbookViewId="0">
      <selection activeCell="D1" sqref="D1:D1048576"/>
    </sheetView>
  </sheetViews>
  <sheetFormatPr baseColWidth="10" defaultRowHeight="15" x14ac:dyDescent="0.25"/>
  <cols>
    <col min="2" max="2" width="21.5703125" customWidth="1"/>
  </cols>
  <sheetData>
    <row r="1" spans="1:9" x14ac:dyDescent="0.25">
      <c r="A1" s="46" t="s">
        <v>171</v>
      </c>
      <c r="B1" s="47" t="s">
        <v>172</v>
      </c>
      <c r="C1" s="48" t="s">
        <v>158</v>
      </c>
      <c r="D1" s="49" t="s">
        <v>173</v>
      </c>
      <c r="E1" s="49" t="s">
        <v>174</v>
      </c>
      <c r="F1" s="50" t="s">
        <v>175</v>
      </c>
      <c r="I1" s="49" t="s">
        <v>173</v>
      </c>
    </row>
    <row r="2" spans="1:9" ht="15.75" x14ac:dyDescent="0.3">
      <c r="A2" s="1">
        <v>1</v>
      </c>
      <c r="B2" s="2" t="s">
        <v>1</v>
      </c>
      <c r="C2" s="3"/>
      <c r="D2" s="4"/>
      <c r="E2" s="3"/>
      <c r="F2" s="3"/>
      <c r="I2" s="4"/>
    </row>
    <row r="3" spans="1:9" ht="28.5" x14ac:dyDescent="0.3">
      <c r="A3" s="5">
        <v>1.01</v>
      </c>
      <c r="B3" s="6" t="s">
        <v>2</v>
      </c>
      <c r="C3" s="7" t="s">
        <v>3</v>
      </c>
      <c r="D3" s="7">
        <v>108</v>
      </c>
      <c r="E3" s="8">
        <v>9300</v>
      </c>
      <c r="F3" s="9">
        <f t="shared" ref="F3:F15" si="0">+E3*D3</f>
        <v>1004400</v>
      </c>
      <c r="I3" s="7">
        <v>108</v>
      </c>
    </row>
    <row r="4" spans="1:9" ht="28.5" x14ac:dyDescent="0.3">
      <c r="A4" s="5">
        <v>1.02</v>
      </c>
      <c r="B4" s="6" t="s">
        <v>4</v>
      </c>
      <c r="C4" s="7" t="s">
        <v>3</v>
      </c>
      <c r="D4" s="7">
        <f>(4+4+4+4)*2.5</f>
        <v>40</v>
      </c>
      <c r="E4" s="8">
        <v>14000</v>
      </c>
      <c r="F4" s="9">
        <f t="shared" si="0"/>
        <v>560000</v>
      </c>
      <c r="I4" s="7">
        <f>(4+4+4+4)*2.5</f>
        <v>40</v>
      </c>
    </row>
    <row r="5" spans="1:9" ht="28.5" x14ac:dyDescent="0.3">
      <c r="A5" s="5">
        <v>1.03</v>
      </c>
      <c r="B5" s="6" t="s">
        <v>5</v>
      </c>
      <c r="C5" s="7" t="s">
        <v>3</v>
      </c>
      <c r="D5" s="7">
        <v>108</v>
      </c>
      <c r="E5" s="8">
        <v>15000</v>
      </c>
      <c r="F5" s="9">
        <f t="shared" si="0"/>
        <v>1620000</v>
      </c>
      <c r="I5" s="7">
        <v>108</v>
      </c>
    </row>
    <row r="6" spans="1:9" ht="28.5" x14ac:dyDescent="0.3">
      <c r="A6" s="5">
        <v>1.04</v>
      </c>
      <c r="B6" s="6" t="s">
        <v>6</v>
      </c>
      <c r="C6" s="7" t="s">
        <v>7</v>
      </c>
      <c r="D6" s="7">
        <v>1</v>
      </c>
      <c r="E6" s="8">
        <v>200000</v>
      </c>
      <c r="F6" s="9">
        <f t="shared" si="0"/>
        <v>200000</v>
      </c>
      <c r="I6" s="7">
        <v>1</v>
      </c>
    </row>
    <row r="7" spans="1:9" ht="15.75" x14ac:dyDescent="0.3">
      <c r="A7" s="5">
        <v>1.05</v>
      </c>
      <c r="B7" s="6" t="s">
        <v>8</v>
      </c>
      <c r="C7" s="7" t="s">
        <v>7</v>
      </c>
      <c r="D7" s="7">
        <v>1</v>
      </c>
      <c r="E7" s="8">
        <v>100000</v>
      </c>
      <c r="F7" s="9">
        <f t="shared" si="0"/>
        <v>100000</v>
      </c>
      <c r="I7" s="7">
        <v>1</v>
      </c>
    </row>
    <row r="8" spans="1:9" ht="28.5" x14ac:dyDescent="0.3">
      <c r="A8" s="5">
        <v>1.06</v>
      </c>
      <c r="B8" s="6" t="s">
        <v>9</v>
      </c>
      <c r="C8" s="7" t="s">
        <v>7</v>
      </c>
      <c r="D8" s="7">
        <v>1</v>
      </c>
      <c r="E8" s="8">
        <v>120000</v>
      </c>
      <c r="F8" s="9">
        <f t="shared" si="0"/>
        <v>120000</v>
      </c>
      <c r="I8" s="7">
        <v>1</v>
      </c>
    </row>
    <row r="9" spans="1:9" ht="15.75" x14ac:dyDescent="0.3">
      <c r="A9" s="5">
        <v>1.07</v>
      </c>
      <c r="B9" s="6" t="s">
        <v>10</v>
      </c>
      <c r="C9" s="7" t="s">
        <v>11</v>
      </c>
      <c r="D9" s="7">
        <v>12</v>
      </c>
      <c r="E9" s="8">
        <v>18000</v>
      </c>
      <c r="F9" s="9">
        <f t="shared" si="0"/>
        <v>216000</v>
      </c>
      <c r="I9" s="7">
        <v>12</v>
      </c>
    </row>
    <row r="10" spans="1:9" ht="42.75" x14ac:dyDescent="0.3">
      <c r="A10" s="5">
        <v>1.08</v>
      </c>
      <c r="B10" s="6" t="s">
        <v>12</v>
      </c>
      <c r="C10" s="7" t="s">
        <v>7</v>
      </c>
      <c r="D10" s="7">
        <v>1</v>
      </c>
      <c r="E10" s="8">
        <v>1800000</v>
      </c>
      <c r="F10" s="9">
        <f t="shared" si="0"/>
        <v>1800000</v>
      </c>
      <c r="I10" s="7">
        <v>1</v>
      </c>
    </row>
    <row r="11" spans="1:9" ht="28.5" x14ac:dyDescent="0.3">
      <c r="A11" s="5">
        <v>1.0900000000000001</v>
      </c>
      <c r="B11" s="6" t="s">
        <v>13</v>
      </c>
      <c r="C11" s="7" t="s">
        <v>14</v>
      </c>
      <c r="D11" s="7">
        <v>2</v>
      </c>
      <c r="E11" s="8">
        <v>90000</v>
      </c>
      <c r="F11" s="9">
        <f t="shared" si="0"/>
        <v>180000</v>
      </c>
      <c r="I11" s="7">
        <v>2</v>
      </c>
    </row>
    <row r="12" spans="1:9" ht="42.75" x14ac:dyDescent="0.3">
      <c r="A12" s="5">
        <v>1.1000000000000001</v>
      </c>
      <c r="B12" s="10" t="s">
        <v>15</v>
      </c>
      <c r="C12" s="7" t="s">
        <v>7</v>
      </c>
      <c r="D12" s="7">
        <v>1</v>
      </c>
      <c r="E12" s="8">
        <v>400000</v>
      </c>
      <c r="F12" s="9">
        <f t="shared" si="0"/>
        <v>400000</v>
      </c>
      <c r="I12" s="7">
        <v>1</v>
      </c>
    </row>
    <row r="13" spans="1:9" ht="15.75" x14ac:dyDescent="0.3">
      <c r="A13" s="5">
        <v>1.1100000000000001</v>
      </c>
      <c r="B13" s="6" t="s">
        <v>16</v>
      </c>
      <c r="C13" s="7" t="s">
        <v>14</v>
      </c>
      <c r="D13" s="7">
        <v>2</v>
      </c>
      <c r="E13" s="8">
        <v>60000</v>
      </c>
      <c r="F13" s="9">
        <f t="shared" si="0"/>
        <v>120000</v>
      </c>
      <c r="I13" s="7">
        <v>2</v>
      </c>
    </row>
    <row r="14" spans="1:9" ht="28.5" x14ac:dyDescent="0.3">
      <c r="A14" s="5">
        <v>1.1200000000000001</v>
      </c>
      <c r="B14" s="6" t="s">
        <v>17</v>
      </c>
      <c r="C14" s="7" t="s">
        <v>18</v>
      </c>
      <c r="D14" s="7">
        <v>5</v>
      </c>
      <c r="E14" s="8">
        <v>150000</v>
      </c>
      <c r="F14" s="9">
        <f t="shared" si="0"/>
        <v>750000</v>
      </c>
      <c r="I14" s="7">
        <v>5</v>
      </c>
    </row>
    <row r="15" spans="1:9" ht="15.75" x14ac:dyDescent="0.3">
      <c r="A15" s="5">
        <v>1.1299999999999999</v>
      </c>
      <c r="B15" s="10" t="s">
        <v>19</v>
      </c>
      <c r="C15" s="7" t="s">
        <v>7</v>
      </c>
      <c r="D15" s="7">
        <v>1</v>
      </c>
      <c r="E15" s="8">
        <v>1200000</v>
      </c>
      <c r="F15" s="9">
        <f t="shared" si="0"/>
        <v>1200000</v>
      </c>
      <c r="I15" s="7">
        <v>1</v>
      </c>
    </row>
    <row r="16" spans="1:9" ht="15.75" x14ac:dyDescent="0.3">
      <c r="A16" s="1">
        <v>2</v>
      </c>
      <c r="B16" s="11" t="s">
        <v>20</v>
      </c>
      <c r="C16" s="4"/>
      <c r="D16" s="4"/>
      <c r="E16" s="3"/>
      <c r="F16" s="3"/>
      <c r="I16" s="4"/>
    </row>
    <row r="17" spans="1:9" ht="28.5" x14ac:dyDescent="0.3">
      <c r="A17" s="5" t="s">
        <v>21</v>
      </c>
      <c r="B17" s="10" t="s">
        <v>22</v>
      </c>
      <c r="C17" s="7" t="s">
        <v>3</v>
      </c>
      <c r="D17" s="7">
        <f>(5.13+3.7+5.2+5.5+2.3+2.3+1.9+2.3)*2.4-D19</f>
        <v>32.992000000000004</v>
      </c>
      <c r="E17" s="12">
        <v>114000</v>
      </c>
      <c r="F17" s="13">
        <f>+E17*D17</f>
        <v>3761088.0000000005</v>
      </c>
      <c r="I17" s="7">
        <f>(5.13+3.7+5.2+5.5+2.3+2.3+1.9+2.3)*2.4-I19</f>
        <v>32.992000000000004</v>
      </c>
    </row>
    <row r="18" spans="1:9" ht="28.5" x14ac:dyDescent="0.3">
      <c r="A18" s="5" t="s">
        <v>23</v>
      </c>
      <c r="B18" s="10" t="s">
        <v>22</v>
      </c>
      <c r="C18" s="7" t="s">
        <v>11</v>
      </c>
      <c r="D18" s="7">
        <v>10.5</v>
      </c>
      <c r="E18" s="12">
        <f>E17*0.6</f>
        <v>68400</v>
      </c>
      <c r="F18" s="13">
        <f>+E18*D18</f>
        <v>718200</v>
      </c>
      <c r="I18" s="7">
        <v>10.5</v>
      </c>
    </row>
    <row r="19" spans="1:9" ht="15.75" x14ac:dyDescent="0.3">
      <c r="A19" s="5" t="s">
        <v>24</v>
      </c>
      <c r="B19" s="10" t="s">
        <v>25</v>
      </c>
      <c r="C19" s="7" t="s">
        <v>3</v>
      </c>
      <c r="D19" s="7">
        <v>35</v>
      </c>
      <c r="E19" s="12">
        <v>162500</v>
      </c>
      <c r="F19" s="13">
        <f>+E19*D19</f>
        <v>5687500</v>
      </c>
      <c r="I19" s="7">
        <v>35</v>
      </c>
    </row>
    <row r="20" spans="1:9" ht="15.75" x14ac:dyDescent="0.3">
      <c r="A20" s="5" t="s">
        <v>26</v>
      </c>
      <c r="B20" s="10" t="s">
        <v>27</v>
      </c>
      <c r="C20" s="7" t="s">
        <v>11</v>
      </c>
      <c r="D20" s="7">
        <f>14+5.2+3+5.8</f>
        <v>28</v>
      </c>
      <c r="E20" s="12">
        <v>122500</v>
      </c>
      <c r="F20" s="13">
        <f>+E20*D20</f>
        <v>3430000</v>
      </c>
      <c r="I20" s="7">
        <f>14+5.2+3+5.8</f>
        <v>28</v>
      </c>
    </row>
    <row r="21" spans="1:9" ht="27.75" x14ac:dyDescent="0.3">
      <c r="A21" s="1">
        <v>3</v>
      </c>
      <c r="B21" s="2" t="s">
        <v>28</v>
      </c>
      <c r="C21" s="4"/>
      <c r="D21" s="4"/>
      <c r="E21" s="3"/>
      <c r="F21" s="3"/>
      <c r="I21" s="4"/>
    </row>
    <row r="22" spans="1:9" ht="28.5" x14ac:dyDescent="0.3">
      <c r="A22" s="14" t="s">
        <v>29</v>
      </c>
      <c r="B22" s="15" t="s">
        <v>30</v>
      </c>
      <c r="C22" s="16" t="s">
        <v>11</v>
      </c>
      <c r="D22" s="7">
        <f>10*3</f>
        <v>30</v>
      </c>
      <c r="E22" s="8">
        <v>14500</v>
      </c>
      <c r="F22" s="8">
        <f t="shared" ref="F22:F27" si="1">+E22*D22</f>
        <v>435000</v>
      </c>
      <c r="I22" s="7">
        <f>10*3</f>
        <v>30</v>
      </c>
    </row>
    <row r="23" spans="1:9" ht="28.5" x14ac:dyDescent="0.3">
      <c r="A23" s="14" t="s">
        <v>31</v>
      </c>
      <c r="B23" s="15" t="s">
        <v>32</v>
      </c>
      <c r="C23" s="16" t="s">
        <v>11</v>
      </c>
      <c r="D23" s="7">
        <v>12</v>
      </c>
      <c r="E23" s="8">
        <v>16000</v>
      </c>
      <c r="F23" s="8">
        <f t="shared" si="1"/>
        <v>192000</v>
      </c>
      <c r="I23" s="7">
        <v>12</v>
      </c>
    </row>
    <row r="24" spans="1:9" ht="28.5" x14ac:dyDescent="0.3">
      <c r="A24" s="14" t="s">
        <v>33</v>
      </c>
      <c r="B24" s="15" t="s">
        <v>34</v>
      </c>
      <c r="C24" s="17" t="s">
        <v>3</v>
      </c>
      <c r="D24" s="7">
        <f>(3.91+4.9)*2.2</f>
        <v>19.382000000000001</v>
      </c>
      <c r="E24" s="8">
        <v>39600</v>
      </c>
      <c r="F24" s="8">
        <f t="shared" si="1"/>
        <v>767527.20000000007</v>
      </c>
      <c r="I24" s="7">
        <f>(3.91+4.9)*2.2</f>
        <v>19.382000000000001</v>
      </c>
    </row>
    <row r="25" spans="1:9" ht="42.75" x14ac:dyDescent="0.3">
      <c r="A25" s="14" t="s">
        <v>35</v>
      </c>
      <c r="B25" s="15" t="s">
        <v>36</v>
      </c>
      <c r="C25" s="16" t="s">
        <v>11</v>
      </c>
      <c r="D25" s="7">
        <v>51</v>
      </c>
      <c r="E25" s="8">
        <v>34000</v>
      </c>
      <c r="F25" s="8">
        <f t="shared" si="1"/>
        <v>1734000</v>
      </c>
      <c r="I25" s="7">
        <v>51</v>
      </c>
    </row>
    <row r="26" spans="1:9" ht="15.75" x14ac:dyDescent="0.3">
      <c r="A26" s="14" t="s">
        <v>37</v>
      </c>
      <c r="B26" s="15" t="s">
        <v>38</v>
      </c>
      <c r="C26" s="17" t="s">
        <v>3</v>
      </c>
      <c r="D26" s="7">
        <v>108</v>
      </c>
      <c r="E26" s="8">
        <v>65000</v>
      </c>
      <c r="F26" s="8">
        <f t="shared" si="1"/>
        <v>7020000</v>
      </c>
      <c r="I26" s="7">
        <v>108</v>
      </c>
    </row>
    <row r="27" spans="1:9" ht="42.75" x14ac:dyDescent="0.3">
      <c r="A27" s="14" t="s">
        <v>39</v>
      </c>
      <c r="B27" s="18" t="s">
        <v>40</v>
      </c>
      <c r="C27" s="17" t="s">
        <v>11</v>
      </c>
      <c r="D27" s="7">
        <v>8</v>
      </c>
      <c r="E27" s="19">
        <v>45000</v>
      </c>
      <c r="F27" s="8">
        <f t="shared" si="1"/>
        <v>360000</v>
      </c>
      <c r="I27" s="7">
        <v>8</v>
      </c>
    </row>
    <row r="28" spans="1:9" ht="15.75" x14ac:dyDescent="0.3">
      <c r="A28" s="1" t="s">
        <v>41</v>
      </c>
      <c r="B28" s="2" t="s">
        <v>42</v>
      </c>
      <c r="C28" s="4"/>
      <c r="D28" s="4"/>
      <c r="E28" s="3"/>
      <c r="F28" s="3"/>
      <c r="I28" s="4"/>
    </row>
    <row r="29" spans="1:9" ht="15.75" x14ac:dyDescent="0.3">
      <c r="A29" s="20" t="s">
        <v>43</v>
      </c>
      <c r="B29" s="21" t="s">
        <v>44</v>
      </c>
      <c r="C29" s="4" t="s">
        <v>3</v>
      </c>
      <c r="D29" s="7">
        <v>10</v>
      </c>
      <c r="E29" s="8">
        <v>41300</v>
      </c>
      <c r="F29" s="9">
        <f>+E29*D29</f>
        <v>413000</v>
      </c>
      <c r="I29" s="7">
        <v>10</v>
      </c>
    </row>
    <row r="30" spans="1:9" ht="28.5" x14ac:dyDescent="0.3">
      <c r="A30" s="20" t="s">
        <v>45</v>
      </c>
      <c r="B30" s="10" t="s">
        <v>34</v>
      </c>
      <c r="C30" s="7" t="s">
        <v>3</v>
      </c>
      <c r="D30" s="7">
        <v>108</v>
      </c>
      <c r="E30" s="8">
        <v>39600</v>
      </c>
      <c r="F30" s="9">
        <f>+E30*D30</f>
        <v>4276800</v>
      </c>
      <c r="I30" s="7">
        <v>108</v>
      </c>
    </row>
    <row r="31" spans="1:9" ht="28.5" x14ac:dyDescent="0.3">
      <c r="A31" s="20" t="s">
        <v>46</v>
      </c>
      <c r="B31" s="10" t="s">
        <v>47</v>
      </c>
      <c r="C31" s="4" t="s">
        <v>11</v>
      </c>
      <c r="D31" s="7">
        <v>51</v>
      </c>
      <c r="E31" s="8">
        <v>58600</v>
      </c>
      <c r="F31" s="9">
        <f>+E31*D31</f>
        <v>2988600</v>
      </c>
      <c r="I31" s="7">
        <v>51</v>
      </c>
    </row>
    <row r="32" spans="1:9" ht="57" x14ac:dyDescent="0.3">
      <c r="A32" s="20" t="s">
        <v>48</v>
      </c>
      <c r="B32" s="10" t="s">
        <v>49</v>
      </c>
      <c r="C32" s="4" t="s">
        <v>11</v>
      </c>
      <c r="D32" s="7">
        <v>45</v>
      </c>
      <c r="E32" s="12">
        <v>38700</v>
      </c>
      <c r="F32" s="13">
        <f>+E32*D32</f>
        <v>1741500</v>
      </c>
      <c r="I32" s="7">
        <v>45</v>
      </c>
    </row>
    <row r="33" spans="1:9" ht="27.75" x14ac:dyDescent="0.3">
      <c r="A33" s="1">
        <v>5</v>
      </c>
      <c r="B33" s="2" t="s">
        <v>50</v>
      </c>
      <c r="C33" s="4"/>
      <c r="D33" s="4"/>
      <c r="E33" s="3"/>
      <c r="F33" s="3"/>
      <c r="I33" s="4"/>
    </row>
    <row r="34" spans="1:9" ht="27.75" x14ac:dyDescent="0.3">
      <c r="A34" s="1">
        <v>5.01</v>
      </c>
      <c r="B34" s="11" t="s">
        <v>51</v>
      </c>
      <c r="C34" s="4"/>
      <c r="D34" s="4"/>
      <c r="E34" s="3"/>
      <c r="F34" s="22"/>
      <c r="I34" s="4"/>
    </row>
    <row r="35" spans="1:9" ht="141" x14ac:dyDescent="0.25">
      <c r="A35" s="1"/>
      <c r="B35" s="23" t="s">
        <v>52</v>
      </c>
      <c r="C35" s="24"/>
      <c r="D35" s="24"/>
      <c r="E35" s="25"/>
      <c r="F35" s="25"/>
      <c r="I35" s="24"/>
    </row>
    <row r="36" spans="1:9" ht="28.5" x14ac:dyDescent="0.25">
      <c r="A36" s="14" t="s">
        <v>53</v>
      </c>
      <c r="B36" s="26" t="s">
        <v>54</v>
      </c>
      <c r="C36" s="7" t="s">
        <v>14</v>
      </c>
      <c r="D36" s="7">
        <v>12</v>
      </c>
      <c r="E36" s="12">
        <v>109600</v>
      </c>
      <c r="F36" s="19">
        <f>+D36*E36</f>
        <v>1315200</v>
      </c>
      <c r="I36" s="7">
        <v>12</v>
      </c>
    </row>
    <row r="37" spans="1:9" ht="28.5" x14ac:dyDescent="0.25">
      <c r="A37" s="14" t="s">
        <v>55</v>
      </c>
      <c r="B37" s="26" t="s">
        <v>56</v>
      </c>
      <c r="C37" s="7" t="s">
        <v>14</v>
      </c>
      <c r="D37" s="7">
        <v>2</v>
      </c>
      <c r="E37" s="12">
        <v>109600</v>
      </c>
      <c r="F37" s="12">
        <f>+D37*E37</f>
        <v>219200</v>
      </c>
      <c r="I37" s="7">
        <v>2</v>
      </c>
    </row>
    <row r="38" spans="1:9" ht="42.75" x14ac:dyDescent="0.25">
      <c r="A38" s="14" t="s">
        <v>57</v>
      </c>
      <c r="B38" s="15" t="s">
        <v>58</v>
      </c>
      <c r="C38" s="7" t="s">
        <v>14</v>
      </c>
      <c r="D38" s="7">
        <v>29</v>
      </c>
      <c r="E38" s="19">
        <v>109600</v>
      </c>
      <c r="F38" s="19">
        <f>+D38*E38</f>
        <v>3178400</v>
      </c>
      <c r="I38" s="7">
        <v>29</v>
      </c>
    </row>
    <row r="39" spans="1:9" ht="28.5" x14ac:dyDescent="0.25">
      <c r="A39" s="14" t="s">
        <v>59</v>
      </c>
      <c r="B39" s="15" t="s">
        <v>60</v>
      </c>
      <c r="C39" s="7" t="s">
        <v>14</v>
      </c>
      <c r="D39" s="7">
        <v>9</v>
      </c>
      <c r="E39" s="19">
        <v>124500</v>
      </c>
      <c r="F39" s="19">
        <f>+D39*E39</f>
        <v>1120500</v>
      </c>
      <c r="I39" s="7">
        <v>9</v>
      </c>
    </row>
    <row r="40" spans="1:9" ht="28.5" x14ac:dyDescent="0.25">
      <c r="A40" s="14" t="s">
        <v>61</v>
      </c>
      <c r="B40" s="15" t="s">
        <v>62</v>
      </c>
      <c r="C40" s="7" t="s">
        <v>14</v>
      </c>
      <c r="D40" s="7">
        <v>1</v>
      </c>
      <c r="E40" s="19">
        <v>109600</v>
      </c>
      <c r="F40" s="19">
        <f>+D40*E40</f>
        <v>109600</v>
      </c>
      <c r="I40" s="7">
        <v>1</v>
      </c>
    </row>
    <row r="41" spans="1:9" ht="41.25" x14ac:dyDescent="0.3">
      <c r="A41" s="1"/>
      <c r="B41" s="11" t="s">
        <v>63</v>
      </c>
      <c r="C41" s="4"/>
      <c r="D41" s="4"/>
      <c r="E41" s="3"/>
      <c r="F41" s="3"/>
      <c r="I41" s="4"/>
    </row>
    <row r="42" spans="1:9" ht="42.75" x14ac:dyDescent="0.25">
      <c r="A42" s="14" t="s">
        <v>64</v>
      </c>
      <c r="B42" s="15" t="s">
        <v>65</v>
      </c>
      <c r="C42" s="7" t="s">
        <v>11</v>
      </c>
      <c r="D42" s="7">
        <v>44</v>
      </c>
      <c r="E42" s="19">
        <v>41400</v>
      </c>
      <c r="F42" s="19">
        <f>+D42*E42</f>
        <v>1821600</v>
      </c>
      <c r="I42" s="7">
        <v>44</v>
      </c>
    </row>
    <row r="43" spans="1:9" ht="57" x14ac:dyDescent="0.25">
      <c r="A43" s="14" t="s">
        <v>66</v>
      </c>
      <c r="B43" s="15" t="s">
        <v>67</v>
      </c>
      <c r="C43" s="7" t="s">
        <v>14</v>
      </c>
      <c r="D43" s="7">
        <v>2</v>
      </c>
      <c r="E43" s="19">
        <v>245000</v>
      </c>
      <c r="F43" s="19">
        <f>+D43*E43</f>
        <v>490000</v>
      </c>
      <c r="I43" s="7">
        <v>2</v>
      </c>
    </row>
    <row r="44" spans="1:9" ht="28.5" x14ac:dyDescent="0.25">
      <c r="A44" s="14" t="s">
        <v>68</v>
      </c>
      <c r="B44" s="26" t="s">
        <v>69</v>
      </c>
      <c r="C44" s="7" t="s">
        <v>14</v>
      </c>
      <c r="D44" s="7">
        <v>1</v>
      </c>
      <c r="E44" s="12">
        <v>225000</v>
      </c>
      <c r="F44" s="12">
        <f>+D44*E44</f>
        <v>225000</v>
      </c>
      <c r="I44" s="7">
        <v>1</v>
      </c>
    </row>
    <row r="45" spans="1:9" ht="42.75" x14ac:dyDescent="0.25">
      <c r="A45" s="14" t="s">
        <v>70</v>
      </c>
      <c r="B45" s="15" t="s">
        <v>71</v>
      </c>
      <c r="C45" s="7" t="s">
        <v>14</v>
      </c>
      <c r="D45" s="7">
        <v>29</v>
      </c>
      <c r="E45" s="19">
        <v>64200</v>
      </c>
      <c r="F45" s="19">
        <f>+D45*E45</f>
        <v>1861800</v>
      </c>
      <c r="I45" s="7">
        <v>29</v>
      </c>
    </row>
    <row r="46" spans="1:9" ht="42.75" x14ac:dyDescent="0.25">
      <c r="A46" s="14" t="s">
        <v>72</v>
      </c>
      <c r="B46" s="15" t="s">
        <v>73</v>
      </c>
      <c r="C46" s="7" t="s">
        <v>14</v>
      </c>
      <c r="D46" s="7">
        <v>9</v>
      </c>
      <c r="E46" s="19">
        <v>45800</v>
      </c>
      <c r="F46" s="19">
        <f>+D46*E46</f>
        <v>412200</v>
      </c>
      <c r="I46" s="7">
        <v>9</v>
      </c>
    </row>
    <row r="47" spans="1:9" ht="27.75" x14ac:dyDescent="0.3">
      <c r="A47" s="14">
        <v>5.0199999999999996</v>
      </c>
      <c r="B47" s="11" t="s">
        <v>74</v>
      </c>
      <c r="C47" s="4"/>
      <c r="D47" s="4"/>
      <c r="E47" s="3"/>
      <c r="F47" s="22"/>
      <c r="I47" s="4"/>
    </row>
    <row r="48" spans="1:9" ht="85.5" x14ac:dyDescent="0.25">
      <c r="A48" s="14"/>
      <c r="B48" s="23" t="s">
        <v>75</v>
      </c>
      <c r="C48" s="24"/>
      <c r="D48" s="24"/>
      <c r="E48" s="25"/>
      <c r="F48" s="25"/>
      <c r="I48" s="24"/>
    </row>
    <row r="49" spans="1:9" ht="85.5" x14ac:dyDescent="0.25">
      <c r="A49" s="14" t="s">
        <v>76</v>
      </c>
      <c r="B49" s="15" t="s">
        <v>77</v>
      </c>
      <c r="C49" s="7" t="s">
        <v>14</v>
      </c>
      <c r="D49" s="7">
        <v>24</v>
      </c>
      <c r="E49" s="19">
        <v>118400</v>
      </c>
      <c r="F49" s="19">
        <f>+D49*E49</f>
        <v>2841600</v>
      </c>
      <c r="I49" s="7">
        <v>24</v>
      </c>
    </row>
    <row r="50" spans="1:9" ht="85.5" x14ac:dyDescent="0.25">
      <c r="A50" s="14" t="s">
        <v>78</v>
      </c>
      <c r="B50" s="15" t="s">
        <v>79</v>
      </c>
      <c r="C50" s="7" t="s">
        <v>14</v>
      </c>
      <c r="D50" s="7">
        <v>4</v>
      </c>
      <c r="E50" s="19">
        <v>151300</v>
      </c>
      <c r="F50" s="19">
        <f>+D50*E50</f>
        <v>605200</v>
      </c>
      <c r="I50" s="7">
        <v>4</v>
      </c>
    </row>
    <row r="51" spans="1:9" ht="54.75" x14ac:dyDescent="0.3">
      <c r="A51" s="14">
        <v>5.03</v>
      </c>
      <c r="B51" s="11" t="s">
        <v>80</v>
      </c>
      <c r="C51" s="4"/>
      <c r="D51" s="4"/>
      <c r="E51" s="3"/>
      <c r="F51" s="22"/>
      <c r="I51" s="4"/>
    </row>
    <row r="52" spans="1:9" ht="15.75" x14ac:dyDescent="0.3">
      <c r="A52" s="14"/>
      <c r="B52" s="11" t="s">
        <v>81</v>
      </c>
      <c r="C52" s="4"/>
      <c r="D52" s="4"/>
      <c r="E52" s="3"/>
      <c r="F52" s="3"/>
      <c r="I52" s="4"/>
    </row>
    <row r="53" spans="1:9" ht="85.5" x14ac:dyDescent="0.25">
      <c r="A53" s="14"/>
      <c r="B53" s="23" t="s">
        <v>82</v>
      </c>
      <c r="C53" s="24"/>
      <c r="D53" s="24"/>
      <c r="E53" s="25"/>
      <c r="F53" s="25"/>
      <c r="I53" s="24"/>
    </row>
    <row r="54" spans="1:9" ht="28.5" x14ac:dyDescent="0.25">
      <c r="A54" s="14" t="s">
        <v>83</v>
      </c>
      <c r="B54" s="15" t="s">
        <v>84</v>
      </c>
      <c r="C54" s="7" t="s">
        <v>14</v>
      </c>
      <c r="D54" s="7">
        <v>2</v>
      </c>
      <c r="E54" s="19">
        <v>286900</v>
      </c>
      <c r="F54" s="19">
        <f>+D54*E54</f>
        <v>573800</v>
      </c>
      <c r="I54" s="7">
        <v>2</v>
      </c>
    </row>
    <row r="55" spans="1:9" ht="15.75" x14ac:dyDescent="0.3">
      <c r="A55" s="14" t="s">
        <v>85</v>
      </c>
      <c r="B55" s="11" t="s">
        <v>86</v>
      </c>
      <c r="C55" s="4"/>
      <c r="D55" s="4"/>
      <c r="E55" s="3"/>
      <c r="F55" s="22"/>
      <c r="I55" s="4"/>
    </row>
    <row r="56" spans="1:9" ht="28.5" x14ac:dyDescent="0.25">
      <c r="A56" s="14" t="s">
        <v>87</v>
      </c>
      <c r="B56" s="26" t="s">
        <v>88</v>
      </c>
      <c r="C56" s="7" t="s">
        <v>14</v>
      </c>
      <c r="D56" s="7">
        <v>1</v>
      </c>
      <c r="E56" s="12">
        <v>580000</v>
      </c>
      <c r="F56" s="12">
        <f>+D56*E56</f>
        <v>580000</v>
      </c>
      <c r="I56" s="7">
        <v>1</v>
      </c>
    </row>
    <row r="57" spans="1:9" ht="27.75" x14ac:dyDescent="0.3">
      <c r="A57" s="20" t="s">
        <v>89</v>
      </c>
      <c r="B57" s="11" t="s">
        <v>90</v>
      </c>
      <c r="C57" s="4"/>
      <c r="D57" s="4"/>
      <c r="E57" s="3"/>
      <c r="F57" s="22"/>
      <c r="I57" s="4"/>
    </row>
    <row r="58" spans="1:9" ht="28.5" x14ac:dyDescent="0.25">
      <c r="A58" s="27" t="s">
        <v>91</v>
      </c>
      <c r="B58" s="21" t="s">
        <v>92</v>
      </c>
      <c r="C58" s="7" t="s">
        <v>11</v>
      </c>
      <c r="D58" s="7">
        <v>38</v>
      </c>
      <c r="E58" s="12">
        <v>18900</v>
      </c>
      <c r="F58" s="28">
        <f>D58*E58</f>
        <v>718200</v>
      </c>
      <c r="I58" s="7">
        <v>38</v>
      </c>
    </row>
    <row r="59" spans="1:9" ht="27.75" x14ac:dyDescent="0.3">
      <c r="A59" s="5"/>
      <c r="B59" s="11" t="s">
        <v>93</v>
      </c>
      <c r="C59" s="29"/>
      <c r="D59" s="29"/>
      <c r="E59" s="30"/>
      <c r="F59" s="30"/>
      <c r="I59" s="29"/>
    </row>
    <row r="60" spans="1:9" ht="15.75" x14ac:dyDescent="0.3">
      <c r="A60" s="1" t="s">
        <v>94</v>
      </c>
      <c r="B60" s="11" t="s">
        <v>95</v>
      </c>
      <c r="C60" s="4"/>
      <c r="D60" s="4"/>
      <c r="E60" s="3"/>
      <c r="F60" s="3"/>
      <c r="I60" s="4"/>
    </row>
    <row r="61" spans="1:9" x14ac:dyDescent="0.25">
      <c r="A61" s="27" t="s">
        <v>96</v>
      </c>
      <c r="B61" s="10" t="s">
        <v>97</v>
      </c>
      <c r="C61" s="7" t="s">
        <v>3</v>
      </c>
      <c r="D61" s="7">
        <v>10</v>
      </c>
      <c r="E61" s="31">
        <v>39000</v>
      </c>
      <c r="F61" s="28">
        <f>D61*E61</f>
        <v>390000</v>
      </c>
      <c r="I61" s="7">
        <v>10</v>
      </c>
    </row>
    <row r="62" spans="1:9" x14ac:dyDescent="0.25">
      <c r="A62" s="27" t="s">
        <v>98</v>
      </c>
      <c r="B62" s="21" t="s">
        <v>99</v>
      </c>
      <c r="C62" s="7" t="s">
        <v>3</v>
      </c>
      <c r="D62" s="7">
        <f>98*3</f>
        <v>294</v>
      </c>
      <c r="E62" s="32">
        <v>16200</v>
      </c>
      <c r="F62" s="33">
        <f>D62*E62</f>
        <v>4762800</v>
      </c>
      <c r="I62" s="7">
        <f>98*3</f>
        <v>294</v>
      </c>
    </row>
    <row r="63" spans="1:9" x14ac:dyDescent="0.25">
      <c r="A63" s="27" t="s">
        <v>100</v>
      </c>
      <c r="B63" s="10" t="s">
        <v>99</v>
      </c>
      <c r="C63" s="7" t="s">
        <v>11</v>
      </c>
      <c r="D63" s="7">
        <v>98</v>
      </c>
      <c r="E63" s="32">
        <v>9720</v>
      </c>
      <c r="F63" s="33">
        <f>D63*E63</f>
        <v>952560</v>
      </c>
      <c r="I63" s="7">
        <v>98</v>
      </c>
    </row>
    <row r="64" spans="1:9" ht="28.5" x14ac:dyDescent="0.25">
      <c r="A64" s="27" t="s">
        <v>101</v>
      </c>
      <c r="B64" s="10" t="s">
        <v>102</v>
      </c>
      <c r="C64" s="7" t="s">
        <v>3</v>
      </c>
      <c r="D64" s="7">
        <v>108</v>
      </c>
      <c r="E64" s="32">
        <v>17900</v>
      </c>
      <c r="F64" s="33">
        <f>D64*E64</f>
        <v>1933200</v>
      </c>
      <c r="I64" s="7">
        <v>108</v>
      </c>
    </row>
    <row r="65" spans="1:9" ht="42.75" x14ac:dyDescent="0.25">
      <c r="A65" s="27" t="s">
        <v>103</v>
      </c>
      <c r="B65" s="10" t="s">
        <v>104</v>
      </c>
      <c r="C65" s="7" t="s">
        <v>7</v>
      </c>
      <c r="D65" s="7">
        <v>1</v>
      </c>
      <c r="E65" s="33">
        <v>550000</v>
      </c>
      <c r="F65" s="33">
        <f>D65*E65</f>
        <v>550000</v>
      </c>
      <c r="I65" s="7">
        <v>1</v>
      </c>
    </row>
    <row r="66" spans="1:9" ht="15.75" x14ac:dyDescent="0.3">
      <c r="A66" s="34" t="s">
        <v>105</v>
      </c>
      <c r="B66" s="11" t="s">
        <v>106</v>
      </c>
      <c r="C66" s="35"/>
      <c r="D66" s="35"/>
      <c r="E66" s="36"/>
      <c r="F66" s="36"/>
      <c r="I66" s="35"/>
    </row>
    <row r="67" spans="1:9" x14ac:dyDescent="0.25">
      <c r="A67" s="37" t="s">
        <v>107</v>
      </c>
      <c r="B67" s="10" t="s">
        <v>108</v>
      </c>
      <c r="C67" s="37" t="s">
        <v>0</v>
      </c>
      <c r="D67" s="37">
        <v>1</v>
      </c>
      <c r="E67" s="38">
        <v>340220</v>
      </c>
      <c r="F67" s="38">
        <f>D67*E67</f>
        <v>340220</v>
      </c>
      <c r="I67" s="37">
        <v>1</v>
      </c>
    </row>
    <row r="68" spans="1:9" x14ac:dyDescent="0.25">
      <c r="A68" s="37" t="s">
        <v>109</v>
      </c>
      <c r="B68" s="10" t="s">
        <v>110</v>
      </c>
      <c r="C68" s="37" t="s">
        <v>0</v>
      </c>
      <c r="D68" s="37">
        <v>6</v>
      </c>
      <c r="E68" s="38">
        <v>290465</v>
      </c>
      <c r="F68" s="38">
        <f t="shared" ref="F68:F74" si="2">D68*E68</f>
        <v>1742790</v>
      </c>
      <c r="I68" s="37">
        <v>6</v>
      </c>
    </row>
    <row r="69" spans="1:9" x14ac:dyDescent="0.25">
      <c r="A69" s="37" t="s">
        <v>111</v>
      </c>
      <c r="B69" s="10" t="s">
        <v>112</v>
      </c>
      <c r="C69" s="37" t="s">
        <v>0</v>
      </c>
      <c r="D69" s="37">
        <v>7</v>
      </c>
      <c r="E69" s="38">
        <v>191440</v>
      </c>
      <c r="F69" s="38">
        <f t="shared" si="2"/>
        <v>1340080</v>
      </c>
      <c r="I69" s="37">
        <v>7</v>
      </c>
    </row>
    <row r="70" spans="1:9" x14ac:dyDescent="0.25">
      <c r="A70" s="37" t="s">
        <v>113</v>
      </c>
      <c r="B70" s="10" t="s">
        <v>114</v>
      </c>
      <c r="C70" s="37" t="s">
        <v>115</v>
      </c>
      <c r="D70" s="37">
        <v>17</v>
      </c>
      <c r="E70" s="38">
        <v>37200</v>
      </c>
      <c r="F70" s="38">
        <f t="shared" si="2"/>
        <v>632400</v>
      </c>
      <c r="I70" s="37">
        <v>17</v>
      </c>
    </row>
    <row r="71" spans="1:9" x14ac:dyDescent="0.25">
      <c r="A71" s="37" t="s">
        <v>116</v>
      </c>
      <c r="B71" s="10" t="s">
        <v>117</v>
      </c>
      <c r="C71" s="37" t="s">
        <v>115</v>
      </c>
      <c r="D71" s="37">
        <v>16</v>
      </c>
      <c r="E71" s="38">
        <v>28000</v>
      </c>
      <c r="F71" s="38">
        <f t="shared" si="2"/>
        <v>448000</v>
      </c>
      <c r="I71" s="37">
        <v>16</v>
      </c>
    </row>
    <row r="72" spans="1:9" x14ac:dyDescent="0.25">
      <c r="A72" s="37" t="s">
        <v>118</v>
      </c>
      <c r="B72" s="10" t="s">
        <v>119</v>
      </c>
      <c r="C72" s="37" t="s">
        <v>115</v>
      </c>
      <c r="D72" s="37">
        <v>22</v>
      </c>
      <c r="E72" s="38">
        <v>11200</v>
      </c>
      <c r="F72" s="38">
        <f t="shared" si="2"/>
        <v>246400</v>
      </c>
      <c r="I72" s="37">
        <v>22</v>
      </c>
    </row>
    <row r="73" spans="1:9" x14ac:dyDescent="0.25">
      <c r="A73" s="37" t="s">
        <v>120</v>
      </c>
      <c r="B73" s="10" t="s">
        <v>121</v>
      </c>
      <c r="C73" s="37" t="s">
        <v>115</v>
      </c>
      <c r="D73" s="37">
        <v>18</v>
      </c>
      <c r="E73" s="38">
        <v>32400</v>
      </c>
      <c r="F73" s="38">
        <f t="shared" si="2"/>
        <v>583200</v>
      </c>
      <c r="I73" s="37">
        <v>18</v>
      </c>
    </row>
    <row r="74" spans="1:9" ht="28.5" x14ac:dyDescent="0.25">
      <c r="A74" s="37" t="s">
        <v>122</v>
      </c>
      <c r="B74" s="10" t="s">
        <v>123</v>
      </c>
      <c r="C74" s="37" t="s">
        <v>0</v>
      </c>
      <c r="D74" s="37">
        <v>1</v>
      </c>
      <c r="E74" s="38">
        <v>220000</v>
      </c>
      <c r="F74" s="38">
        <f t="shared" si="2"/>
        <v>220000</v>
      </c>
      <c r="I74" s="37">
        <v>1</v>
      </c>
    </row>
    <row r="75" spans="1:9" ht="15.75" x14ac:dyDescent="0.3">
      <c r="A75" s="34" t="s">
        <v>124</v>
      </c>
      <c r="B75" s="11" t="s">
        <v>125</v>
      </c>
      <c r="C75" s="35"/>
      <c r="D75" s="35"/>
      <c r="E75" s="36"/>
      <c r="F75" s="36"/>
      <c r="I75" s="35"/>
    </row>
    <row r="76" spans="1:9" ht="42.75" x14ac:dyDescent="0.25">
      <c r="A76" s="37" t="s">
        <v>21</v>
      </c>
      <c r="B76" s="10" t="s">
        <v>126</v>
      </c>
      <c r="C76" s="37" t="s">
        <v>127</v>
      </c>
      <c r="D76" s="37">
        <v>49</v>
      </c>
      <c r="E76" s="38">
        <v>11900</v>
      </c>
      <c r="F76" s="38">
        <f>D76*E76</f>
        <v>583100</v>
      </c>
      <c r="I76" s="37">
        <v>49</v>
      </c>
    </row>
    <row r="77" spans="1:9" ht="28.5" x14ac:dyDescent="0.25">
      <c r="A77" s="37" t="s">
        <v>23</v>
      </c>
      <c r="B77" s="10" t="s">
        <v>128</v>
      </c>
      <c r="C77" s="37" t="s">
        <v>127</v>
      </c>
      <c r="D77" s="37">
        <v>66.73</v>
      </c>
      <c r="E77" s="38">
        <v>21500</v>
      </c>
      <c r="F77" s="38">
        <f>D77*E77</f>
        <v>1434695</v>
      </c>
      <c r="I77" s="37">
        <v>66.73</v>
      </c>
    </row>
    <row r="78" spans="1:9" x14ac:dyDescent="0.25">
      <c r="A78" s="37" t="s">
        <v>24</v>
      </c>
      <c r="B78" s="10" t="s">
        <v>129</v>
      </c>
      <c r="C78" s="37" t="s">
        <v>127</v>
      </c>
      <c r="D78" s="37">
        <f>5.35*2.7+2*2.7</f>
        <v>19.844999999999999</v>
      </c>
      <c r="E78" s="38">
        <v>79800</v>
      </c>
      <c r="F78" s="38">
        <f>+D78*E78</f>
        <v>1583631</v>
      </c>
      <c r="I78" s="37">
        <f>5.35*2.7+2*2.7</f>
        <v>19.844999999999999</v>
      </c>
    </row>
    <row r="79" spans="1:9" x14ac:dyDescent="0.25">
      <c r="A79" s="37" t="s">
        <v>26</v>
      </c>
      <c r="B79" s="10" t="s">
        <v>130</v>
      </c>
      <c r="C79" s="37" t="s">
        <v>131</v>
      </c>
      <c r="D79" s="37">
        <f>2.7*2+2.7</f>
        <v>8.1000000000000014</v>
      </c>
      <c r="E79" s="38">
        <f>+E78*60%</f>
        <v>47880</v>
      </c>
      <c r="F79" s="38">
        <f t="shared" ref="F79:F81" si="3">+D79*E79</f>
        <v>387828.00000000006</v>
      </c>
      <c r="I79" s="37">
        <f>2.7*2+2.7</f>
        <v>8.1000000000000014</v>
      </c>
    </row>
    <row r="80" spans="1:9" ht="28.5" x14ac:dyDescent="0.25">
      <c r="A80" s="37" t="s">
        <v>132</v>
      </c>
      <c r="B80" s="10" t="s">
        <v>133</v>
      </c>
      <c r="C80" s="37" t="s">
        <v>127</v>
      </c>
      <c r="D80" s="37">
        <f>3.8+3.1+1.7*2.7+0.94*4+2.3*4</f>
        <v>24.45</v>
      </c>
      <c r="E80" s="38">
        <v>113750</v>
      </c>
      <c r="F80" s="38">
        <f t="shared" si="3"/>
        <v>2781187.5</v>
      </c>
      <c r="I80" s="37">
        <f>3.8+3.1+1.7*2.7+0.94*4+2.3*4</f>
        <v>24.45</v>
      </c>
    </row>
    <row r="81" spans="1:9" ht="57" x14ac:dyDescent="0.25">
      <c r="A81" s="37" t="s">
        <v>134</v>
      </c>
      <c r="B81" s="10" t="s">
        <v>135</v>
      </c>
      <c r="C81" s="37" t="s">
        <v>127</v>
      </c>
      <c r="D81" s="37">
        <f>2.5*3.45</f>
        <v>8.625</v>
      </c>
      <c r="E81" s="38">
        <v>11900</v>
      </c>
      <c r="F81" s="38">
        <f t="shared" si="3"/>
        <v>102637.5</v>
      </c>
      <c r="I81" s="37">
        <f>2.5*3.45</f>
        <v>8.625</v>
      </c>
    </row>
    <row r="82" spans="1:9" ht="28.5" x14ac:dyDescent="0.25">
      <c r="A82" s="37" t="s">
        <v>136</v>
      </c>
      <c r="B82" s="10" t="s">
        <v>137</v>
      </c>
      <c r="C82" s="37" t="s">
        <v>11</v>
      </c>
      <c r="D82" s="37">
        <v>4</v>
      </c>
      <c r="E82" s="38">
        <v>47880</v>
      </c>
      <c r="F82" s="38">
        <f>+D82*E82</f>
        <v>191520</v>
      </c>
      <c r="I82" s="37">
        <v>4</v>
      </c>
    </row>
    <row r="83" spans="1:9" x14ac:dyDescent="0.25">
      <c r="A83" s="37" t="s">
        <v>138</v>
      </c>
      <c r="B83" s="10" t="s">
        <v>38</v>
      </c>
      <c r="C83" s="37" t="s">
        <v>11</v>
      </c>
      <c r="D83" s="37">
        <f>3.58+3.04+2.21+4.96+3+2.33</f>
        <v>19.119999999999997</v>
      </c>
      <c r="E83" s="38">
        <v>45000</v>
      </c>
      <c r="F83" s="38">
        <f>+D83*E83</f>
        <v>860399.99999999988</v>
      </c>
      <c r="I83" s="37">
        <f>3.58+3.04+2.21+4.96+3+2.33</f>
        <v>19.119999999999997</v>
      </c>
    </row>
    <row r="84" spans="1:9" ht="28.5" x14ac:dyDescent="0.25">
      <c r="A84" s="37" t="s">
        <v>139</v>
      </c>
      <c r="B84" s="10" t="s">
        <v>140</v>
      </c>
      <c r="C84" s="37" t="s">
        <v>11</v>
      </c>
      <c r="D84" s="37">
        <f>2.35+5</f>
        <v>7.35</v>
      </c>
      <c r="E84" s="38">
        <v>45000</v>
      </c>
      <c r="F84" s="38">
        <f t="shared" ref="F84:F91" si="4">+D84*E84</f>
        <v>330750</v>
      </c>
      <c r="I84" s="37">
        <f>2.35+5</f>
        <v>7.35</v>
      </c>
    </row>
    <row r="85" spans="1:9" ht="28.5" x14ac:dyDescent="0.25">
      <c r="A85" s="37" t="s">
        <v>141</v>
      </c>
      <c r="B85" s="10" t="s">
        <v>4</v>
      </c>
      <c r="C85" s="37" t="s">
        <v>3</v>
      </c>
      <c r="D85" s="37">
        <f>2.04*2.7</f>
        <v>5.5080000000000009</v>
      </c>
      <c r="E85" s="38">
        <v>14000</v>
      </c>
      <c r="F85" s="38">
        <f t="shared" si="4"/>
        <v>77112.000000000015</v>
      </c>
      <c r="I85" s="37">
        <f>2.04*2.7</f>
        <v>5.5080000000000009</v>
      </c>
    </row>
    <row r="86" spans="1:9" ht="28.5" x14ac:dyDescent="0.25">
      <c r="A86" s="37" t="s">
        <v>142</v>
      </c>
      <c r="B86" s="10" t="s">
        <v>143</v>
      </c>
      <c r="C86" s="37" t="s">
        <v>3</v>
      </c>
      <c r="D86" s="37">
        <v>5.51</v>
      </c>
      <c r="E86" s="38">
        <v>79800</v>
      </c>
      <c r="F86" s="38">
        <f t="shared" si="4"/>
        <v>439698</v>
      </c>
      <c r="I86" s="37">
        <v>5.51</v>
      </c>
    </row>
    <row r="87" spans="1:9" x14ac:dyDescent="0.25">
      <c r="A87" s="37" t="s">
        <v>144</v>
      </c>
      <c r="B87" s="10" t="s">
        <v>145</v>
      </c>
      <c r="C87" s="37" t="s">
        <v>11</v>
      </c>
      <c r="D87" s="37">
        <v>2.04</v>
      </c>
      <c r="E87" s="38">
        <v>47880</v>
      </c>
      <c r="F87" s="38">
        <f t="shared" si="4"/>
        <v>97675.199999999997</v>
      </c>
      <c r="I87" s="37">
        <v>2.04</v>
      </c>
    </row>
    <row r="88" spans="1:9" ht="28.5" x14ac:dyDescent="0.25">
      <c r="A88" s="37" t="s">
        <v>146</v>
      </c>
      <c r="B88" s="10" t="s">
        <v>147</v>
      </c>
      <c r="C88" s="37" t="s">
        <v>3</v>
      </c>
      <c r="D88" s="37">
        <v>2.88</v>
      </c>
      <c r="E88" s="38">
        <f>+E89*0.6</f>
        <v>23760</v>
      </c>
      <c r="F88" s="38">
        <f t="shared" si="4"/>
        <v>68428.800000000003</v>
      </c>
      <c r="I88" s="37">
        <v>2.88</v>
      </c>
    </row>
    <row r="89" spans="1:9" ht="28.5" x14ac:dyDescent="0.25">
      <c r="A89" s="37" t="s">
        <v>148</v>
      </c>
      <c r="B89" s="10" t="s">
        <v>34</v>
      </c>
      <c r="C89" s="37" t="s">
        <v>3</v>
      </c>
      <c r="D89" s="37">
        <v>2.88</v>
      </c>
      <c r="E89" s="38">
        <v>39600</v>
      </c>
      <c r="F89" s="38">
        <f t="shared" si="4"/>
        <v>114048</v>
      </c>
      <c r="I89" s="37">
        <v>2.88</v>
      </c>
    </row>
    <row r="90" spans="1:9" x14ac:dyDescent="0.25">
      <c r="A90" s="37" t="s">
        <v>149</v>
      </c>
      <c r="B90" s="10" t="s">
        <v>150</v>
      </c>
      <c r="C90" s="37" t="s">
        <v>11</v>
      </c>
      <c r="D90" s="37">
        <f>3.13+3.11+1.1+1.22</f>
        <v>8.56</v>
      </c>
      <c r="E90" s="38">
        <v>19000</v>
      </c>
      <c r="F90" s="38">
        <f t="shared" si="4"/>
        <v>162640</v>
      </c>
      <c r="I90" s="37">
        <f>3.13+3.11+1.1+1.22</f>
        <v>8.56</v>
      </c>
    </row>
    <row r="91" spans="1:9" ht="28.5" x14ac:dyDescent="0.25">
      <c r="A91" s="37" t="s">
        <v>151</v>
      </c>
      <c r="B91" s="10" t="s">
        <v>152</v>
      </c>
      <c r="C91" s="37" t="s">
        <v>127</v>
      </c>
      <c r="D91" s="37">
        <v>3</v>
      </c>
      <c r="E91" s="38">
        <v>118700</v>
      </c>
      <c r="F91" s="38">
        <f t="shared" si="4"/>
        <v>356100</v>
      </c>
      <c r="I91" s="37">
        <v>3</v>
      </c>
    </row>
    <row r="92" spans="1:9" ht="15.75" x14ac:dyDescent="0.3">
      <c r="A92" s="34" t="s">
        <v>153</v>
      </c>
      <c r="B92" s="11" t="s">
        <v>154</v>
      </c>
      <c r="C92" s="35"/>
      <c r="D92" s="35"/>
      <c r="E92" s="36"/>
      <c r="F92" s="36"/>
      <c r="I92" s="35"/>
    </row>
    <row r="93" spans="1:9" x14ac:dyDescent="0.25">
      <c r="A93" s="37" t="s">
        <v>29</v>
      </c>
      <c r="B93" s="10" t="s">
        <v>155</v>
      </c>
      <c r="C93" s="37" t="s">
        <v>127</v>
      </c>
      <c r="D93" s="37">
        <v>108</v>
      </c>
      <c r="E93" s="38">
        <v>12100</v>
      </c>
      <c r="F93" s="38">
        <f>D93*E93</f>
        <v>1306800</v>
      </c>
      <c r="I93" s="37">
        <v>108</v>
      </c>
    </row>
    <row r="94" spans="1:9" ht="15.75" x14ac:dyDescent="0.3">
      <c r="A94" s="34" t="s">
        <v>41</v>
      </c>
      <c r="B94" s="11" t="s">
        <v>156</v>
      </c>
      <c r="C94" s="35"/>
      <c r="D94" s="35"/>
      <c r="E94" s="36"/>
      <c r="F94" s="36"/>
      <c r="I94" s="35"/>
    </row>
    <row r="95" spans="1:9" ht="28.5" x14ac:dyDescent="0.25">
      <c r="A95" s="37" t="s">
        <v>43</v>
      </c>
      <c r="B95" s="10" t="s">
        <v>157</v>
      </c>
      <c r="C95" s="37" t="s">
        <v>158</v>
      </c>
      <c r="D95" s="37">
        <v>1</v>
      </c>
      <c r="E95" s="38">
        <v>118400</v>
      </c>
      <c r="F95" s="38">
        <f t="shared" ref="F95" si="5">+D95*E95</f>
        <v>118400</v>
      </c>
      <c r="I95" s="37">
        <v>1</v>
      </c>
    </row>
    <row r="96" spans="1:9" ht="71.25" x14ac:dyDescent="0.25">
      <c r="A96" s="37" t="s">
        <v>45</v>
      </c>
      <c r="B96" s="10" t="s">
        <v>159</v>
      </c>
      <c r="C96" s="37" t="s">
        <v>14</v>
      </c>
      <c r="D96" s="37">
        <v>1</v>
      </c>
      <c r="E96" s="38">
        <v>118400</v>
      </c>
      <c r="F96" s="38">
        <f>+D96*E96</f>
        <v>118400</v>
      </c>
      <c r="I96" s="37">
        <v>1</v>
      </c>
    </row>
    <row r="97" spans="1:9" ht="42.75" x14ac:dyDescent="0.25">
      <c r="A97" s="37" t="s">
        <v>46</v>
      </c>
      <c r="B97" s="10" t="s">
        <v>160</v>
      </c>
      <c r="C97" s="37" t="s">
        <v>14</v>
      </c>
      <c r="D97" s="37">
        <v>2</v>
      </c>
      <c r="E97" s="38">
        <v>118400</v>
      </c>
      <c r="F97" s="38">
        <f>+D97*E97</f>
        <v>236800</v>
      </c>
      <c r="I97" s="37">
        <v>2</v>
      </c>
    </row>
    <row r="98" spans="1:9" ht="42.75" x14ac:dyDescent="0.25">
      <c r="A98" s="37" t="s">
        <v>48</v>
      </c>
      <c r="B98" s="10" t="s">
        <v>161</v>
      </c>
      <c r="C98" s="37" t="s">
        <v>14</v>
      </c>
      <c r="D98" s="37">
        <v>1</v>
      </c>
      <c r="E98" s="38">
        <v>109600</v>
      </c>
      <c r="F98" s="38">
        <f>+D98*E98</f>
        <v>109600</v>
      </c>
      <c r="I98" s="37">
        <v>1</v>
      </c>
    </row>
    <row r="99" spans="1:9" ht="15.75" x14ac:dyDescent="0.3">
      <c r="A99" s="34" t="s">
        <v>41</v>
      </c>
      <c r="B99" s="11" t="s">
        <v>162</v>
      </c>
      <c r="C99" s="35"/>
      <c r="D99" s="35"/>
      <c r="E99" s="36"/>
      <c r="F99" s="36"/>
      <c r="I99" s="35"/>
    </row>
    <row r="100" spans="1:9" ht="28.5" x14ac:dyDescent="0.25">
      <c r="A100" s="37" t="s">
        <v>43</v>
      </c>
      <c r="B100" s="10" t="s">
        <v>163</v>
      </c>
      <c r="C100" s="37" t="s">
        <v>14</v>
      </c>
      <c r="D100" s="37">
        <v>1</v>
      </c>
      <c r="E100" s="38">
        <v>1183500</v>
      </c>
      <c r="F100" s="38">
        <f>+D100*E100</f>
        <v>1183500</v>
      </c>
      <c r="I100" s="37">
        <v>1</v>
      </c>
    </row>
    <row r="101" spans="1:9" ht="28.5" x14ac:dyDescent="0.25">
      <c r="A101" s="37" t="s">
        <v>46</v>
      </c>
      <c r="B101" s="39" t="s">
        <v>164</v>
      </c>
      <c r="C101" s="40" t="s">
        <v>115</v>
      </c>
      <c r="D101" s="42">
        <v>0</v>
      </c>
      <c r="E101" s="41">
        <v>123481</v>
      </c>
      <c r="F101" s="38">
        <f>+D101*E101</f>
        <v>0</v>
      </c>
      <c r="I101" s="42">
        <v>0</v>
      </c>
    </row>
    <row r="102" spans="1:9" x14ac:dyDescent="0.25">
      <c r="A102" s="51" t="s">
        <v>165</v>
      </c>
      <c r="B102" s="52"/>
      <c r="C102" s="52"/>
      <c r="D102" s="52"/>
      <c r="E102" s="53"/>
      <c r="F102" s="43">
        <f>SUM(F3:F101)</f>
        <v>84654516.200000003</v>
      </c>
    </row>
    <row r="103" spans="1:9" ht="15.75" x14ac:dyDescent="0.3">
      <c r="A103" s="54" t="s">
        <v>166</v>
      </c>
      <c r="B103" s="55"/>
      <c r="C103" s="55"/>
      <c r="D103" s="56"/>
      <c r="E103" s="44">
        <v>0.1</v>
      </c>
      <c r="F103" s="45">
        <f>E103*F102</f>
        <v>8465451.620000001</v>
      </c>
      <c r="I103" s="44">
        <v>0.1</v>
      </c>
    </row>
    <row r="104" spans="1:9" ht="15.75" x14ac:dyDescent="0.3">
      <c r="A104" s="54" t="s">
        <v>167</v>
      </c>
      <c r="B104" s="55"/>
      <c r="C104" s="55"/>
      <c r="D104" s="56"/>
      <c r="E104" s="44">
        <v>0.02</v>
      </c>
      <c r="F104" s="45">
        <f>E104*F102</f>
        <v>1693090.324</v>
      </c>
      <c r="I104" s="44">
        <v>0.02</v>
      </c>
    </row>
    <row r="105" spans="1:9" ht="15.75" x14ac:dyDescent="0.3">
      <c r="A105" s="54" t="s">
        <v>168</v>
      </c>
      <c r="B105" s="55"/>
      <c r="C105" s="55"/>
      <c r="D105" s="56"/>
      <c r="E105" s="44">
        <v>0.05</v>
      </c>
      <c r="F105" s="45">
        <f>E105*F102</f>
        <v>4232725.8100000005</v>
      </c>
      <c r="I105" s="44">
        <v>0.05</v>
      </c>
    </row>
    <row r="106" spans="1:9" ht="15.75" x14ac:dyDescent="0.3">
      <c r="A106" s="54" t="s">
        <v>169</v>
      </c>
      <c r="B106" s="55"/>
      <c r="C106" s="55"/>
      <c r="D106" s="56"/>
      <c r="E106" s="44">
        <v>0.19</v>
      </c>
      <c r="F106" s="45">
        <f>E106*F105</f>
        <v>804217.90390000015</v>
      </c>
      <c r="I106" s="44">
        <v>0.19</v>
      </c>
    </row>
    <row r="107" spans="1:9" x14ac:dyDescent="0.25">
      <c r="A107" s="51" t="s">
        <v>170</v>
      </c>
      <c r="B107" s="52"/>
      <c r="C107" s="52"/>
      <c r="D107" s="52"/>
      <c r="E107" s="53"/>
      <c r="F107" s="43">
        <f>SUM(F102:F106)</f>
        <v>99850001.857900009</v>
      </c>
    </row>
  </sheetData>
  <mergeCells count="6">
    <mergeCell ref="A107:E107"/>
    <mergeCell ref="A102:E102"/>
    <mergeCell ref="A103:D103"/>
    <mergeCell ref="A104:D104"/>
    <mergeCell ref="A105:D105"/>
    <mergeCell ref="A106:D10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2026-06-04T01:02:43Z</dcterms:created>
  <dcterms:modified xsi:type="dcterms:W3CDTF">2026-06-07T03:58:44Z</dcterms:modified>
</cp:coreProperties>
</file>