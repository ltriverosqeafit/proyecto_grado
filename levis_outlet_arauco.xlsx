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Tesis\"/>
    </mc:Choice>
  </mc:AlternateContent>
  <xr:revisionPtr revIDLastSave="0" documentId="13_ncr:1_{84E83F57-3694-403E-B22A-071A5F2EF31F}" xr6:coauthVersionLast="47" xr6:coauthVersionMax="47" xr10:uidLastSave="{00000000-0000-0000-0000-000000000000}"/>
  <bookViews>
    <workbookView xWindow="14295" yWindow="0" windowWidth="14610" windowHeight="15585" xr2:uid="{3FBF7950-399D-4B00-A5E6-23A1CD4E62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2" i="1" l="1"/>
  <c r="D41" i="1"/>
  <c r="D39" i="1"/>
  <c r="D36" i="1"/>
  <c r="D23" i="1"/>
  <c r="D22" i="1"/>
  <c r="D21" i="1"/>
  <c r="D20" i="1"/>
  <c r="D18" i="1"/>
  <c r="D16" i="1"/>
  <c r="D15" i="1"/>
  <c r="D14" i="1"/>
  <c r="D13" i="1"/>
  <c r="D11" i="1"/>
  <c r="D8" i="1"/>
  <c r="D7" i="1"/>
  <c r="D3" i="1"/>
  <c r="F62" i="1"/>
  <c r="F61" i="1"/>
  <c r="F60" i="1"/>
  <c r="F59" i="1"/>
  <c r="F58" i="1"/>
  <c r="F56" i="1"/>
  <c r="F54" i="1"/>
  <c r="F53" i="1"/>
  <c r="F51" i="1"/>
  <c r="F50" i="1"/>
  <c r="F48" i="1"/>
  <c r="F47" i="1"/>
  <c r="F45" i="1"/>
  <c r="F44" i="1"/>
  <c r="F43" i="1"/>
  <c r="F37" i="1"/>
  <c r="F35" i="1"/>
  <c r="F34" i="1"/>
  <c r="F33" i="1"/>
  <c r="F32" i="1"/>
  <c r="F31" i="1"/>
  <c r="F30" i="1"/>
  <c r="F29" i="1"/>
  <c r="F27" i="1"/>
  <c r="F26" i="1"/>
  <c r="F25" i="1"/>
  <c r="F9" i="1"/>
  <c r="F5" i="1"/>
  <c r="F4" i="1"/>
  <c r="D10" i="1" l="1"/>
  <c r="D40" i="1"/>
  <c r="F36" i="1"/>
  <c r="F23" i="1"/>
  <c r="F8" i="1"/>
  <c r="F3" i="1"/>
  <c r="F42" i="1"/>
  <c r="F20" i="1"/>
  <c r="F13" i="1"/>
  <c r="F41" i="1"/>
  <c r="F39" i="1"/>
  <c r="F22" i="1"/>
  <c r="F21" i="1"/>
  <c r="F18" i="1"/>
  <c r="F16" i="1"/>
  <c r="F15" i="1"/>
  <c r="F14" i="1"/>
  <c r="F11" i="1"/>
  <c r="F7" i="1"/>
  <c r="F10" i="1" l="1"/>
  <c r="F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win7</author>
  </authors>
  <commentList>
    <comment ref="D27" authorId="0" shapeId="0" xr:uid="{9E9AAABD-F325-4EFE-AAD9-E0E0E5557AF4}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- 2 Antenta, 4 Fachada, 6 Caja, 1 Bodega, Barra Sonido</t>
        </r>
      </text>
    </comment>
    <comment ref="D30" authorId="0" shapeId="0" xr:uid="{F27ADFBD-C9F6-4975-811C-63852CD05ADD}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5 Bodega, 3 Vestier, 3 Espejo, 2 Pasillo, 1 501, 2 Caja, 2 Entrada, 1 Aviso, 5 Rieles</t>
        </r>
      </text>
    </comment>
  </commentList>
</comments>
</file>

<file path=xl/sharedStrings.xml><?xml version="1.0" encoding="utf-8"?>
<sst xmlns="http://schemas.openxmlformats.org/spreadsheetml/2006/main" count="186" uniqueCount="138">
  <si>
    <t>1.01</t>
  </si>
  <si>
    <t>Cerramiento provisional en muro de fibrocemento (montaje y desmontaje)</t>
  </si>
  <si>
    <t>m2</t>
  </si>
  <si>
    <t>1.02</t>
  </si>
  <si>
    <t>Red eléctrica provisional (incluye iluminacion y tablero de obra) en promedio para obras de 100m2</t>
  </si>
  <si>
    <t>Glb</t>
  </si>
  <si>
    <t>1.03</t>
  </si>
  <si>
    <t xml:space="preserve">Refuerzos muros drywall para montaje estantería </t>
  </si>
  <si>
    <t>m</t>
  </si>
  <si>
    <t>PISO</t>
  </si>
  <si>
    <t>2.01</t>
  </si>
  <si>
    <t>Placa de concreto e=7cm, con dilataciones y terminado con helicóptero, En zona comercial</t>
  </si>
  <si>
    <t>2.02</t>
  </si>
  <si>
    <t>Piso Laminado Bodega</t>
  </si>
  <si>
    <t>2.03</t>
  </si>
  <si>
    <t>Guarda Escoba</t>
  </si>
  <si>
    <t>2.04</t>
  </si>
  <si>
    <t>Suministro e instalación de protección para piso en cartón  y cinta</t>
  </si>
  <si>
    <t>2.05</t>
  </si>
  <si>
    <t>Sikaflex dilatiación entrada e=3cm, con sello PVC</t>
  </si>
  <si>
    <t>3.1.02</t>
  </si>
  <si>
    <t>Suministro e instalación de muro doble cara en superboard</t>
  </si>
  <si>
    <t>3.1.03</t>
  </si>
  <si>
    <t>Suministro e instalación lineales superboard</t>
  </si>
  <si>
    <t>3.1.04</t>
  </si>
  <si>
    <t>Suministro e instalación de muro una cara en superboard</t>
  </si>
  <si>
    <t>3.1.05</t>
  </si>
  <si>
    <t>Techo en Drywall</t>
  </si>
  <si>
    <t>Fachada</t>
  </si>
  <si>
    <t>4.01</t>
  </si>
  <si>
    <t>Cortina Enrollable  microperforada en crudo</t>
  </si>
  <si>
    <t>PINTURA</t>
  </si>
  <si>
    <t>5.1.01</t>
  </si>
  <si>
    <t>Pintura vinilo tipo 1  ( 2 manos) Bodega</t>
  </si>
  <si>
    <t>5.1.02</t>
  </si>
  <si>
    <t>Pintura vinilo tipo 1  Blanco ( 3 manos)</t>
  </si>
  <si>
    <t>5.1.03</t>
  </si>
  <si>
    <t>Pintura vinilo tipo 1  Gris ( 3 manos)</t>
  </si>
  <si>
    <t>5.1.04</t>
  </si>
  <si>
    <t>Pintura en techo vinilo tipo 1  Blanco ( 3 manos)</t>
  </si>
  <si>
    <t>REDES ELECTRICAS</t>
  </si>
  <si>
    <t>6.1.01</t>
  </si>
  <si>
    <t xml:space="preserve">Traslado de Acometida </t>
  </si>
  <si>
    <t>ml</t>
  </si>
  <si>
    <t>6.1.02</t>
  </si>
  <si>
    <t>Suministro e instalación de tablero trifásico de 18 circuitos con totalizador de 100 A y automáticos.</t>
  </si>
  <si>
    <t>Un</t>
  </si>
  <si>
    <t>6.1.03</t>
  </si>
  <si>
    <t>Suministro e instalación de salida eléctrica para tomas incluidas antenas</t>
  </si>
  <si>
    <t>6.2</t>
  </si>
  <si>
    <t xml:space="preserve">Iluminación </t>
  </si>
  <si>
    <t/>
  </si>
  <si>
    <t>6.2.01</t>
  </si>
  <si>
    <t>Suministro e instalación de caja de control para iluminación con interruptor plano.</t>
  </si>
  <si>
    <t>6.2.02</t>
  </si>
  <si>
    <t>Suministro e instalación de salida eléctrica para iluminación en tubería emt de 3/4 incluye caja octogonal  cable n.12 libre de halógenos.</t>
  </si>
  <si>
    <t>6.2.03</t>
  </si>
  <si>
    <t>Suministro, armado e instalación de estructura metálica para iluminación tipo chanel ranurado con sus respectivos herrajes con pintura electroestática color blanco satinado.</t>
  </si>
  <si>
    <t>6.2.04</t>
  </si>
  <si>
    <t>Instalación  de lámparas para empotrar o sobreponer (vestieres 3 pasillo 2)</t>
  </si>
  <si>
    <t>6.2.05</t>
  </si>
  <si>
    <t>Instalación de lámparas para iluminación tipo reflector</t>
  </si>
  <si>
    <t>6.2.06</t>
  </si>
  <si>
    <t>Instalacion de lámpara 2 x18 w</t>
  </si>
  <si>
    <t>6.2.07</t>
  </si>
  <si>
    <t>Instalacion de lámpara filamento</t>
  </si>
  <si>
    <t>6.2.08</t>
  </si>
  <si>
    <t>Instalación de riel para reflectores</t>
  </si>
  <si>
    <t>6.2.09</t>
  </si>
  <si>
    <t>Instalación aviso fachada.</t>
  </si>
  <si>
    <t>U</t>
  </si>
  <si>
    <t>6.3.</t>
  </si>
  <si>
    <t>Suministros</t>
  </si>
  <si>
    <t>6.3.01</t>
  </si>
  <si>
    <t>Suministro Spot tipo riel par 30 12W</t>
  </si>
  <si>
    <t>6.3.02</t>
  </si>
  <si>
    <t>Suministro de rieles para lámpara tipo spot de dos vías, incluye transporte desde Bogotá de 1m</t>
  </si>
  <si>
    <t>6.3.03</t>
  </si>
  <si>
    <t>Suministro plafon led 9W</t>
  </si>
  <si>
    <t>6.3.04</t>
  </si>
  <si>
    <t>Suministro Lampara 2x18 Bodega</t>
  </si>
  <si>
    <t>6.3.05</t>
  </si>
  <si>
    <t>Suministro lampara filamento</t>
  </si>
  <si>
    <t>6.3.06</t>
  </si>
  <si>
    <t>Suministro Aviso levis Fachada</t>
  </si>
  <si>
    <t>6.3.07</t>
  </si>
  <si>
    <t>Suministro Aviso 501</t>
  </si>
  <si>
    <t>6.3</t>
  </si>
  <si>
    <t>Sonido, Voz y Datos</t>
  </si>
  <si>
    <t>Suministro e instalación de tuberia EMT 1" para acceso de comunicaciones, con cableado hastas punto de datos</t>
  </si>
  <si>
    <t>Suministro e instalación de salida para sonido incluye tubería EMT de ¾, con cable guía y cajas.</t>
  </si>
  <si>
    <t>6.4</t>
  </si>
  <si>
    <t>Certificacion retie  y otros</t>
  </si>
  <si>
    <t>6.4.01</t>
  </si>
  <si>
    <t>Diseño electrico, planos en autocad firmados por Ing. Calculista para aprobacion de RETIE</t>
  </si>
  <si>
    <t>6.4.02</t>
  </si>
  <si>
    <t xml:space="preserve">Certificación RETIE </t>
  </si>
  <si>
    <t>7.</t>
  </si>
  <si>
    <t>Sistema contraincendio</t>
  </si>
  <si>
    <t>7.01</t>
  </si>
  <si>
    <t>Diseño sistema contraincendio</t>
  </si>
  <si>
    <t>7.02</t>
  </si>
  <si>
    <t>Detector de Humo Honeywell</t>
  </si>
  <si>
    <t>Sistema detección Siemens</t>
  </si>
  <si>
    <t>7.03</t>
  </si>
  <si>
    <t>Rociador automático</t>
  </si>
  <si>
    <t xml:space="preserve">Otros </t>
  </si>
  <si>
    <t>8.01</t>
  </si>
  <si>
    <t>Profesional HSE con certificado de coordinador de trabajo en alturas dedicado para el local</t>
  </si>
  <si>
    <t>8.02</t>
  </si>
  <si>
    <t>Baño Portatil  con mateinimiento cada 3 días</t>
  </si>
  <si>
    <t>8.03</t>
  </si>
  <si>
    <t xml:space="preserve">Aseo durante la obra (aseo diario) </t>
  </si>
  <si>
    <t>sem</t>
  </si>
  <si>
    <t>8.04</t>
  </si>
  <si>
    <t>Aseo entrega final de obra -para entrega</t>
  </si>
  <si>
    <t>8.05</t>
  </si>
  <si>
    <t>Acompañamiento Diario Montaje Mobiliario y Puesa en Servicio (Incluye Aseo y Remates Generales)</t>
  </si>
  <si>
    <t>Día</t>
  </si>
  <si>
    <t>Adicionales</t>
  </si>
  <si>
    <t>9.01</t>
  </si>
  <si>
    <t>Stand By  de Andamios por cese de actividades</t>
  </si>
  <si>
    <t>9.02</t>
  </si>
  <si>
    <t>Motor Cortina Enrollable</t>
  </si>
  <si>
    <t>9.03</t>
  </si>
  <si>
    <t>Tapas de inspección</t>
  </si>
  <si>
    <t>9.04</t>
  </si>
  <si>
    <t>Salida para detector de Humo,  Indicador  y  Estación Pulsadora</t>
  </si>
  <si>
    <t>9.05</t>
  </si>
  <si>
    <t>SISO Nocturno</t>
  </si>
  <si>
    <t>PRELIMINARES</t>
  </si>
  <si>
    <t>Muros</t>
  </si>
  <si>
    <t>item</t>
  </si>
  <si>
    <t>descripcion</t>
  </si>
  <si>
    <t>un</t>
  </si>
  <si>
    <t>valor_unitario</t>
  </si>
  <si>
    <t>cant</t>
  </si>
  <si>
    <t>valor_parcial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</si>
</sst>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6" formatCode="_-&quot;$&quot;* #,##0_-;\-&quot;$&quot;* #,##0_-;_-&quot;$&quot;* &quot;-&quot;??_-;_-@_-"/>
    <numFmt numFmtId="167" formatCode="0_)"/>
    <numFmt numFmtId="168" formatCode="&quot;$&quot;* #,##0.00;&quot;$&quot;* #,##0.00;_(@_)"/>
    <numFmt numFmtId="169" formatCode="_-&quot;$&quot;* #,##0.00_-;\-&quot;$&quot;* #,##0.00_-;_-&quot;$&quot;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Courier"/>
      <family val="3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167" fontId="6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44" fontId="2" fillId="2" borderId="1" xfId="2" applyFont="1" applyFill="1" applyBorder="1" applyAlignment="1">
      <alignment horizontal="center"/>
    </xf>
    <xf numFmtId="0" fontId="4" fillId="0" borderId="1" xfId="3" applyFont="1" applyBorder="1" applyAlignment="1">
      <alignment horizontal="justify" vertical="center"/>
    </xf>
    <xf numFmtId="0" fontId="4" fillId="0" borderId="1" xfId="3" applyFont="1" applyBorder="1" applyAlignment="1">
      <alignment horizontal="left" vertical="center" wrapText="1"/>
    </xf>
    <xf numFmtId="0" fontId="5" fillId="0" borderId="1" xfId="3" applyFont="1" applyBorder="1" applyAlignment="1">
      <alignment horizontal="center" vertical="center"/>
    </xf>
    <xf numFmtId="166" fontId="5" fillId="0" borderId="1" xfId="3" applyNumberFormat="1" applyFont="1" applyBorder="1" applyAlignment="1">
      <alignment horizontal="right" vertical="center"/>
    </xf>
    <xf numFmtId="2" fontId="5" fillId="0" borderId="1" xfId="1" applyNumberFormat="1" applyFont="1" applyFill="1" applyBorder="1" applyAlignment="1">
      <alignment horizontal="center" vertical="center"/>
    </xf>
    <xf numFmtId="168" fontId="4" fillId="0" borderId="1" xfId="4" applyNumberFormat="1" applyFont="1" applyBorder="1" applyAlignment="1">
      <alignment vertical="center"/>
    </xf>
    <xf numFmtId="0" fontId="5" fillId="0" borderId="1" xfId="3" applyFont="1" applyBorder="1" applyAlignment="1">
      <alignment horizontal="justify" vertical="center"/>
    </xf>
    <xf numFmtId="0" fontId="5" fillId="0" borderId="1" xfId="3" applyFont="1" applyBorder="1" applyAlignment="1">
      <alignment horizontal="left" vertical="center" wrapText="1"/>
    </xf>
    <xf numFmtId="169" fontId="5" fillId="0" borderId="1" xfId="4" applyNumberFormat="1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166" fontId="4" fillId="0" borderId="1" xfId="4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169" fontId="4" fillId="0" borderId="1" xfId="4" applyNumberFormat="1" applyFont="1" applyBorder="1" applyAlignment="1">
      <alignment vertical="center"/>
    </xf>
    <xf numFmtId="44" fontId="5" fillId="0" borderId="1" xfId="2" applyFont="1" applyBorder="1" applyAlignment="1">
      <alignment horizontal="right" vertical="center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44" fontId="5" fillId="0" borderId="2" xfId="2" applyFont="1" applyBorder="1" applyAlignment="1">
      <alignment horizontal="right" vertical="center"/>
    </xf>
    <xf numFmtId="2" fontId="5" fillId="0" borderId="2" xfId="1" applyNumberFormat="1" applyFont="1" applyFill="1" applyBorder="1" applyAlignment="1">
      <alignment horizontal="center" vertical="center"/>
    </xf>
    <xf numFmtId="0" fontId="4" fillId="0" borderId="2" xfId="3" applyFont="1" applyBorder="1" applyAlignment="1">
      <alignment horizontal="justify" vertical="center"/>
    </xf>
    <xf numFmtId="0" fontId="4" fillId="0" borderId="2" xfId="3" applyFont="1" applyBorder="1" applyAlignment="1">
      <alignment horizontal="left" vertical="center" wrapText="1"/>
    </xf>
    <xf numFmtId="0" fontId="5" fillId="0" borderId="2" xfId="3" applyFont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169" fontId="4" fillId="0" borderId="2" xfId="4" applyNumberFormat="1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</cellXfs>
  <cellStyles count="5">
    <cellStyle name="Millares" xfId="1" builtinId="3"/>
    <cellStyle name="Moneda" xfId="2" builtinId="4"/>
    <cellStyle name="Normal" xfId="0" builtinId="0"/>
    <cellStyle name="Normal 2" xfId="3" xr:uid="{25613B5A-4773-44C5-AFE8-C8A6511D1046}"/>
    <cellStyle name="Normal_LISTA S.E.D" xfId="4" xr:uid="{829AC273-ED5F-4038-B399-EAE7367DFA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9C954-8F82-42CB-BE13-53604CE2CE89}">
  <dimension ref="A1:F68"/>
  <sheetViews>
    <sheetView tabSelected="1" workbookViewId="0">
      <selection activeCell="H1" sqref="H1:H1048576"/>
    </sheetView>
  </sheetViews>
  <sheetFormatPr baseColWidth="10" defaultRowHeight="15" x14ac:dyDescent="0.25"/>
  <cols>
    <col min="2" max="2" width="14" bestFit="1" customWidth="1"/>
  </cols>
  <sheetData>
    <row r="1" spans="1:6" x14ac:dyDescent="0.25">
      <c r="A1" s="1" t="s">
        <v>132</v>
      </c>
      <c r="B1" s="2" t="s">
        <v>133</v>
      </c>
      <c r="C1" s="2" t="s">
        <v>134</v>
      </c>
      <c r="D1" s="3" t="s">
        <v>136</v>
      </c>
      <c r="E1" s="3" t="s">
        <v>135</v>
      </c>
      <c r="F1" s="4" t="s">
        <v>137</v>
      </c>
    </row>
    <row r="2" spans="1:6" x14ac:dyDescent="0.25">
      <c r="A2" s="5">
        <v>1</v>
      </c>
      <c r="B2" s="6" t="s">
        <v>130</v>
      </c>
      <c r="C2" s="7"/>
      <c r="D2" s="9"/>
      <c r="E2" s="8"/>
      <c r="F2" s="10"/>
    </row>
    <row r="3" spans="1:6" ht="81" x14ac:dyDescent="0.25">
      <c r="A3" s="11" t="s">
        <v>0</v>
      </c>
      <c r="B3" s="12" t="s">
        <v>1</v>
      </c>
      <c r="C3" s="7" t="s">
        <v>2</v>
      </c>
      <c r="D3" s="9">
        <f>2.96*5.05</f>
        <v>14.947999999999999</v>
      </c>
      <c r="E3" s="8">
        <v>55000</v>
      </c>
      <c r="F3" s="13">
        <f>D3*E3</f>
        <v>822139.99999999988</v>
      </c>
    </row>
    <row r="4" spans="1:6" ht="94.5" x14ac:dyDescent="0.25">
      <c r="A4" s="11" t="s">
        <v>3</v>
      </c>
      <c r="B4" s="12" t="s">
        <v>4</v>
      </c>
      <c r="C4" s="7" t="s">
        <v>5</v>
      </c>
      <c r="D4" s="9">
        <v>1</v>
      </c>
      <c r="E4" s="8">
        <v>550000</v>
      </c>
      <c r="F4" s="13">
        <f>D4*E4</f>
        <v>550000</v>
      </c>
    </row>
    <row r="5" spans="1:6" ht="54" x14ac:dyDescent="0.25">
      <c r="A5" s="11" t="s">
        <v>6</v>
      </c>
      <c r="B5" s="12" t="s">
        <v>7</v>
      </c>
      <c r="C5" s="7" t="s">
        <v>8</v>
      </c>
      <c r="D5" s="9">
        <v>30</v>
      </c>
      <c r="E5" s="8">
        <v>25000</v>
      </c>
      <c r="F5" s="13">
        <f>D5*E5</f>
        <v>750000</v>
      </c>
    </row>
    <row r="6" spans="1:6" x14ac:dyDescent="0.25">
      <c r="A6" s="5">
        <v>2</v>
      </c>
      <c r="B6" s="6" t="s">
        <v>9</v>
      </c>
      <c r="C6" s="7"/>
      <c r="D6" s="9"/>
      <c r="E6" s="8"/>
      <c r="F6" s="13"/>
    </row>
    <row r="7" spans="1:6" ht="81" x14ac:dyDescent="0.25">
      <c r="A7" s="11" t="s">
        <v>10</v>
      </c>
      <c r="B7" s="14" t="s">
        <v>11</v>
      </c>
      <c r="C7" s="15" t="s">
        <v>2</v>
      </c>
      <c r="D7" s="9" t="e">
        <f>#REF!-#REF!</f>
        <v>#REF!</v>
      </c>
      <c r="E7" s="8">
        <v>95000</v>
      </c>
      <c r="F7" s="13" t="e">
        <f>D7*E7</f>
        <v>#REF!</v>
      </c>
    </row>
    <row r="8" spans="1:6" ht="27" x14ac:dyDescent="0.25">
      <c r="A8" s="11" t="s">
        <v>12</v>
      </c>
      <c r="B8" s="14" t="s">
        <v>13</v>
      </c>
      <c r="C8" s="15" t="s">
        <v>2</v>
      </c>
      <c r="D8" s="9" t="e">
        <f>#REF!</f>
        <v>#REF!</v>
      </c>
      <c r="E8" s="8">
        <v>62000</v>
      </c>
      <c r="F8" s="13" t="e">
        <f>D8*E8</f>
        <v>#REF!</v>
      </c>
    </row>
    <row r="9" spans="1:6" x14ac:dyDescent="0.25">
      <c r="A9" s="11" t="s">
        <v>14</v>
      </c>
      <c r="B9" s="14" t="s">
        <v>15</v>
      </c>
      <c r="C9" s="15" t="s">
        <v>8</v>
      </c>
      <c r="D9" s="9">
        <v>13</v>
      </c>
      <c r="E9" s="8">
        <v>10500</v>
      </c>
      <c r="F9" s="13">
        <f>D9*E9</f>
        <v>136500</v>
      </c>
    </row>
    <row r="10" spans="1:6" ht="67.5" x14ac:dyDescent="0.25">
      <c r="A10" s="11" t="s">
        <v>16</v>
      </c>
      <c r="B10" s="14" t="s">
        <v>17</v>
      </c>
      <c r="C10" s="15" t="s">
        <v>2</v>
      </c>
      <c r="D10" s="9" t="e">
        <f>D7</f>
        <v>#REF!</v>
      </c>
      <c r="E10" s="8">
        <v>3200</v>
      </c>
      <c r="F10" s="13" t="e">
        <f>D10*E10</f>
        <v>#REF!</v>
      </c>
    </row>
    <row r="11" spans="1:6" ht="54" x14ac:dyDescent="0.25">
      <c r="A11" s="11" t="s">
        <v>18</v>
      </c>
      <c r="B11" s="14" t="s">
        <v>19</v>
      </c>
      <c r="C11" s="15" t="s">
        <v>8</v>
      </c>
      <c r="D11" s="9">
        <f>5.7*2</f>
        <v>11.4</v>
      </c>
      <c r="E11" s="8">
        <v>35000</v>
      </c>
      <c r="F11" s="13">
        <f>D11*E11</f>
        <v>399000</v>
      </c>
    </row>
    <row r="12" spans="1:6" x14ac:dyDescent="0.25">
      <c r="A12" s="5">
        <v>3</v>
      </c>
      <c r="B12" s="6" t="s">
        <v>131</v>
      </c>
      <c r="C12" s="7"/>
      <c r="D12" s="9"/>
      <c r="E12" s="8"/>
      <c r="F12" s="16"/>
    </row>
    <row r="13" spans="1:6" ht="54" x14ac:dyDescent="0.25">
      <c r="A13" s="11" t="s">
        <v>20</v>
      </c>
      <c r="B13" s="14" t="s">
        <v>21</v>
      </c>
      <c r="C13" s="15" t="s">
        <v>2</v>
      </c>
      <c r="D13" s="9" t="e">
        <f>(3.5+1.3)*#REF!+(1.3+1.2+1.2)*#REF!</f>
        <v>#REF!</v>
      </c>
      <c r="E13" s="8">
        <v>110000</v>
      </c>
      <c r="F13" s="13" t="e">
        <f>D13*E13</f>
        <v>#REF!</v>
      </c>
    </row>
    <row r="14" spans="1:6" ht="54" x14ac:dyDescent="0.25">
      <c r="A14" s="11" t="s">
        <v>22</v>
      </c>
      <c r="B14" s="14" t="s">
        <v>23</v>
      </c>
      <c r="C14" s="15" t="s">
        <v>8</v>
      </c>
      <c r="D14" s="9" t="e">
        <f>3*#REF!+22*#REF!+12*0.75</f>
        <v>#REF!</v>
      </c>
      <c r="E14" s="8">
        <v>45800</v>
      </c>
      <c r="F14" s="13" t="e">
        <f>D14*E14</f>
        <v>#REF!</v>
      </c>
    </row>
    <row r="15" spans="1:6" ht="54" x14ac:dyDescent="0.25">
      <c r="A15" s="11" t="s">
        <v>24</v>
      </c>
      <c r="B15" s="14" t="s">
        <v>25</v>
      </c>
      <c r="C15" s="15" t="s">
        <v>2</v>
      </c>
      <c r="D15" s="9" t="e">
        <f>(15.31+5.7+16.6)*#REF!+ 5.7*(4-2.96)+(5.7+3.8)*(#REF!-#REF!)</f>
        <v>#REF!</v>
      </c>
      <c r="E15" s="8">
        <v>74000</v>
      </c>
      <c r="F15" s="13" t="e">
        <f>D15*E15</f>
        <v>#REF!</v>
      </c>
    </row>
    <row r="16" spans="1:6" x14ac:dyDescent="0.25">
      <c r="A16" s="11" t="s">
        <v>26</v>
      </c>
      <c r="B16" s="14" t="s">
        <v>27</v>
      </c>
      <c r="C16" s="15" t="s">
        <v>2</v>
      </c>
      <c r="D16" s="9" t="e">
        <f>#REF!</f>
        <v>#REF!</v>
      </c>
      <c r="E16" s="8">
        <v>48000</v>
      </c>
      <c r="F16" s="13" t="e">
        <f>D16*E16</f>
        <v>#REF!</v>
      </c>
    </row>
    <row r="17" spans="1:6" x14ac:dyDescent="0.25">
      <c r="A17" s="5">
        <v>4</v>
      </c>
      <c r="B17" s="17" t="s">
        <v>28</v>
      </c>
      <c r="C17" s="15"/>
      <c r="D17" s="9"/>
      <c r="E17" s="8"/>
      <c r="F17" s="13"/>
    </row>
    <row r="18" spans="1:6" ht="54" x14ac:dyDescent="0.25">
      <c r="A18" s="11" t="s">
        <v>29</v>
      </c>
      <c r="B18" s="14" t="s">
        <v>30</v>
      </c>
      <c r="C18" s="15" t="s">
        <v>2</v>
      </c>
      <c r="D18" s="9">
        <f>5.05*2.96</f>
        <v>14.947999999999999</v>
      </c>
      <c r="E18" s="8">
        <v>370000</v>
      </c>
      <c r="F18" s="13">
        <f>D18*E18</f>
        <v>5530759.9999999991</v>
      </c>
    </row>
    <row r="19" spans="1:6" x14ac:dyDescent="0.25">
      <c r="A19" s="5">
        <v>5</v>
      </c>
      <c r="B19" s="6" t="s">
        <v>31</v>
      </c>
      <c r="C19" s="7"/>
      <c r="D19" s="9"/>
      <c r="E19" s="8"/>
      <c r="F19" s="18"/>
    </row>
    <row r="20" spans="1:6" ht="40.5" x14ac:dyDescent="0.25">
      <c r="A20" s="11" t="s">
        <v>32</v>
      </c>
      <c r="B20" s="12" t="s">
        <v>33</v>
      </c>
      <c r="C20" s="7" t="s">
        <v>2</v>
      </c>
      <c r="D20" s="9" t="e">
        <f>6.87*#REF!+6*#REF!+0.3*0.75</f>
        <v>#REF!</v>
      </c>
      <c r="E20" s="8">
        <v>10300</v>
      </c>
      <c r="F20" s="13" t="e">
        <f>D20*E20</f>
        <v>#REF!</v>
      </c>
    </row>
    <row r="21" spans="1:6" ht="40.5" x14ac:dyDescent="0.25">
      <c r="A21" s="11" t="s">
        <v>34</v>
      </c>
      <c r="B21" s="12" t="s">
        <v>35</v>
      </c>
      <c r="C21" s="7" t="s">
        <v>2</v>
      </c>
      <c r="D21" s="9" t="e">
        <f>17.6*#REF!+15*#REF!+1*(#REF!-#REF!)</f>
        <v>#REF!</v>
      </c>
      <c r="E21" s="8">
        <v>12800</v>
      </c>
      <c r="F21" s="13" t="e">
        <f>D21*E21</f>
        <v>#REF!</v>
      </c>
    </row>
    <row r="22" spans="1:6" ht="27" x14ac:dyDescent="0.25">
      <c r="A22" s="11" t="s">
        <v>36</v>
      </c>
      <c r="B22" s="12" t="s">
        <v>37</v>
      </c>
      <c r="C22" s="7" t="s">
        <v>2</v>
      </c>
      <c r="D22" s="9" t="e">
        <f>(4.05*2.5)*3+0.75*0.3*3+(0.425+0.75+0.325)*2*#REF!+0.4*0.75*4</f>
        <v>#REF!</v>
      </c>
      <c r="E22" s="8">
        <v>12800</v>
      </c>
      <c r="F22" s="13" t="e">
        <f>D22*E22</f>
        <v>#REF!</v>
      </c>
    </row>
    <row r="23" spans="1:6" ht="54" x14ac:dyDescent="0.25">
      <c r="A23" s="11" t="s">
        <v>38</v>
      </c>
      <c r="B23" s="12" t="s">
        <v>39</v>
      </c>
      <c r="C23" s="7" t="s">
        <v>2</v>
      </c>
      <c r="D23" s="9" t="e">
        <f>#REF!</f>
        <v>#REF!</v>
      </c>
      <c r="E23" s="8">
        <v>14500</v>
      </c>
      <c r="F23" s="13" t="e">
        <f>D23*E23</f>
        <v>#REF!</v>
      </c>
    </row>
    <row r="24" spans="1:6" ht="27" x14ac:dyDescent="0.25">
      <c r="A24" s="5">
        <v>6</v>
      </c>
      <c r="B24" s="6" t="s">
        <v>40</v>
      </c>
      <c r="C24" s="7"/>
      <c r="D24" s="9"/>
      <c r="E24" s="8"/>
      <c r="F24" s="18"/>
    </row>
    <row r="25" spans="1:6" ht="27" x14ac:dyDescent="0.25">
      <c r="A25" s="11" t="s">
        <v>41</v>
      </c>
      <c r="B25" s="12" t="s">
        <v>42</v>
      </c>
      <c r="C25" s="7" t="s">
        <v>43</v>
      </c>
      <c r="D25" s="9">
        <v>10</v>
      </c>
      <c r="E25" s="8">
        <v>15000</v>
      </c>
      <c r="F25" s="13">
        <f>D25*E25</f>
        <v>150000</v>
      </c>
    </row>
    <row r="26" spans="1:6" ht="94.5" x14ac:dyDescent="0.25">
      <c r="A26" s="11" t="s">
        <v>44</v>
      </c>
      <c r="B26" s="14" t="s">
        <v>45</v>
      </c>
      <c r="C26" s="15" t="s">
        <v>46</v>
      </c>
      <c r="D26" s="9">
        <v>1</v>
      </c>
      <c r="E26" s="8">
        <v>1280000</v>
      </c>
      <c r="F26" s="13">
        <f>D26*E26</f>
        <v>1280000</v>
      </c>
    </row>
    <row r="27" spans="1:6" ht="81" x14ac:dyDescent="0.25">
      <c r="A27" s="11" t="s">
        <v>47</v>
      </c>
      <c r="B27" s="14" t="s">
        <v>48</v>
      </c>
      <c r="C27" s="15" t="s">
        <v>46</v>
      </c>
      <c r="D27" s="9">
        <v>13</v>
      </c>
      <c r="E27" s="19">
        <v>116400</v>
      </c>
      <c r="F27" s="13">
        <f>D27*E27</f>
        <v>1513200</v>
      </c>
    </row>
    <row r="28" spans="1:6" x14ac:dyDescent="0.25">
      <c r="A28" s="5" t="s">
        <v>49</v>
      </c>
      <c r="B28" s="6" t="s">
        <v>50</v>
      </c>
      <c r="C28" s="7" t="s">
        <v>51</v>
      </c>
      <c r="D28" s="9"/>
      <c r="E28" s="8"/>
      <c r="F28" s="13"/>
    </row>
    <row r="29" spans="1:6" ht="81" x14ac:dyDescent="0.25">
      <c r="A29" s="11" t="s">
        <v>52</v>
      </c>
      <c r="B29" s="14" t="s">
        <v>53</v>
      </c>
      <c r="C29" s="15" t="s">
        <v>46</v>
      </c>
      <c r="D29" s="9">
        <v>1</v>
      </c>
      <c r="E29" s="19">
        <v>380000</v>
      </c>
      <c r="F29" s="13">
        <f>D29*E29</f>
        <v>380000</v>
      </c>
    </row>
    <row r="30" spans="1:6" ht="121.5" x14ac:dyDescent="0.25">
      <c r="A30" s="11" t="s">
        <v>54</v>
      </c>
      <c r="B30" s="14" t="s">
        <v>55</v>
      </c>
      <c r="C30" s="15" t="s">
        <v>46</v>
      </c>
      <c r="D30" s="9">
        <v>24</v>
      </c>
      <c r="E30" s="19">
        <v>109000</v>
      </c>
      <c r="F30" s="13">
        <f t="shared" ref="F30:F37" si="0">D30*E30</f>
        <v>2616000</v>
      </c>
    </row>
    <row r="31" spans="1:6" ht="189" x14ac:dyDescent="0.25">
      <c r="A31" s="11" t="s">
        <v>56</v>
      </c>
      <c r="B31" s="14" t="s">
        <v>57</v>
      </c>
      <c r="C31" s="15" t="s">
        <v>8</v>
      </c>
      <c r="D31" s="9">
        <v>40</v>
      </c>
      <c r="E31" s="19">
        <v>48700</v>
      </c>
      <c r="F31" s="13">
        <f t="shared" si="0"/>
        <v>1948000</v>
      </c>
    </row>
    <row r="32" spans="1:6" ht="81" x14ac:dyDescent="0.25">
      <c r="A32" s="11" t="s">
        <v>58</v>
      </c>
      <c r="B32" s="14" t="s">
        <v>59</v>
      </c>
      <c r="C32" s="15" t="s">
        <v>46</v>
      </c>
      <c r="D32" s="9">
        <v>5</v>
      </c>
      <c r="E32" s="19">
        <v>16000</v>
      </c>
      <c r="F32" s="13">
        <f t="shared" si="0"/>
        <v>80000</v>
      </c>
    </row>
    <row r="33" spans="1:6" ht="54" x14ac:dyDescent="0.25">
      <c r="A33" s="11" t="s">
        <v>60</v>
      </c>
      <c r="B33" s="14" t="s">
        <v>61</v>
      </c>
      <c r="C33" s="15" t="s">
        <v>46</v>
      </c>
      <c r="D33" s="9">
        <v>84</v>
      </c>
      <c r="E33" s="19">
        <v>8700</v>
      </c>
      <c r="F33" s="13">
        <f t="shared" si="0"/>
        <v>730800</v>
      </c>
    </row>
    <row r="34" spans="1:6" ht="27" x14ac:dyDescent="0.25">
      <c r="A34" s="11" t="s">
        <v>62</v>
      </c>
      <c r="B34" s="14" t="s">
        <v>63</v>
      </c>
      <c r="C34" s="15" t="s">
        <v>46</v>
      </c>
      <c r="D34" s="9">
        <v>5</v>
      </c>
      <c r="E34" s="19">
        <v>16000</v>
      </c>
      <c r="F34" s="13">
        <f t="shared" si="0"/>
        <v>80000</v>
      </c>
    </row>
    <row r="35" spans="1:6" ht="40.5" x14ac:dyDescent="0.25">
      <c r="A35" s="11" t="s">
        <v>64</v>
      </c>
      <c r="B35" s="14" t="s">
        <v>65</v>
      </c>
      <c r="C35" s="15" t="s">
        <v>46</v>
      </c>
      <c r="D35" s="9">
        <v>2</v>
      </c>
      <c r="E35" s="19">
        <v>16000</v>
      </c>
      <c r="F35" s="13">
        <f t="shared" si="0"/>
        <v>32000</v>
      </c>
    </row>
    <row r="36" spans="1:6" ht="27" x14ac:dyDescent="0.25">
      <c r="A36" s="11" t="s">
        <v>66</v>
      </c>
      <c r="B36" s="14" t="s">
        <v>67</v>
      </c>
      <c r="C36" s="15" t="s">
        <v>8</v>
      </c>
      <c r="D36" s="9">
        <f>D31</f>
        <v>40</v>
      </c>
      <c r="E36" s="19">
        <v>13100</v>
      </c>
      <c r="F36" s="13">
        <f t="shared" si="0"/>
        <v>524000</v>
      </c>
    </row>
    <row r="37" spans="1:6" ht="27" x14ac:dyDescent="0.25">
      <c r="A37" s="11" t="s">
        <v>68</v>
      </c>
      <c r="B37" s="20" t="s">
        <v>69</v>
      </c>
      <c r="C37" s="21" t="s">
        <v>70</v>
      </c>
      <c r="D37" s="23">
        <v>1</v>
      </c>
      <c r="E37" s="22">
        <v>235000</v>
      </c>
      <c r="F37" s="13">
        <f t="shared" si="0"/>
        <v>235000</v>
      </c>
    </row>
    <row r="38" spans="1:6" x14ac:dyDescent="0.25">
      <c r="A38" s="24" t="s">
        <v>71</v>
      </c>
      <c r="B38" s="25" t="s">
        <v>72</v>
      </c>
      <c r="C38" s="26"/>
      <c r="D38" s="23"/>
      <c r="E38" s="27"/>
      <c r="F38" s="28"/>
    </row>
    <row r="39" spans="1:6" ht="40.5" x14ac:dyDescent="0.25">
      <c r="A39" s="11" t="s">
        <v>73</v>
      </c>
      <c r="B39" s="14" t="s">
        <v>74</v>
      </c>
      <c r="C39" s="15" t="s">
        <v>46</v>
      </c>
      <c r="D39" s="9">
        <f>D33</f>
        <v>84</v>
      </c>
      <c r="E39" s="8">
        <v>58000</v>
      </c>
      <c r="F39" s="13">
        <f t="shared" ref="F39:F45" si="1">D39*E39</f>
        <v>4872000</v>
      </c>
    </row>
    <row r="40" spans="1:6" ht="94.5" x14ac:dyDescent="0.25">
      <c r="A40" s="11" t="s">
        <v>75</v>
      </c>
      <c r="B40" s="14" t="s">
        <v>76</v>
      </c>
      <c r="C40" s="15" t="s">
        <v>8</v>
      </c>
      <c r="D40" s="9">
        <f>D36</f>
        <v>40</v>
      </c>
      <c r="E40" s="8">
        <v>34700</v>
      </c>
      <c r="F40" s="13">
        <f t="shared" si="1"/>
        <v>1388000</v>
      </c>
    </row>
    <row r="41" spans="1:6" ht="27" x14ac:dyDescent="0.25">
      <c r="A41" s="11" t="s">
        <v>77</v>
      </c>
      <c r="B41" s="14" t="s">
        <v>78</v>
      </c>
      <c r="C41" s="15" t="s">
        <v>46</v>
      </c>
      <c r="D41" s="9">
        <f>D32</f>
        <v>5</v>
      </c>
      <c r="E41" s="8">
        <v>22000</v>
      </c>
      <c r="F41" s="13">
        <f t="shared" si="1"/>
        <v>110000</v>
      </c>
    </row>
    <row r="42" spans="1:6" ht="40.5" x14ac:dyDescent="0.25">
      <c r="A42" s="11" t="s">
        <v>79</v>
      </c>
      <c r="B42" s="14" t="s">
        <v>80</v>
      </c>
      <c r="C42" s="15" t="s">
        <v>46</v>
      </c>
      <c r="D42" s="9">
        <f>D34</f>
        <v>5</v>
      </c>
      <c r="E42" s="8">
        <v>70000</v>
      </c>
      <c r="F42" s="13">
        <f t="shared" si="1"/>
        <v>350000</v>
      </c>
    </row>
    <row r="43" spans="1:6" ht="40.5" x14ac:dyDescent="0.25">
      <c r="A43" s="11" t="s">
        <v>81</v>
      </c>
      <c r="B43" s="20" t="s">
        <v>82</v>
      </c>
      <c r="C43" s="15" t="s">
        <v>46</v>
      </c>
      <c r="D43" s="9">
        <v>2</v>
      </c>
      <c r="E43" s="8">
        <v>98000</v>
      </c>
      <c r="F43" s="13">
        <f t="shared" si="1"/>
        <v>196000</v>
      </c>
    </row>
    <row r="44" spans="1:6" ht="27" x14ac:dyDescent="0.25">
      <c r="A44" s="11" t="s">
        <v>83</v>
      </c>
      <c r="B44" s="20" t="s">
        <v>84</v>
      </c>
      <c r="C44" s="15" t="s">
        <v>46</v>
      </c>
      <c r="D44" s="9">
        <v>1</v>
      </c>
      <c r="E44" s="8">
        <v>1800000</v>
      </c>
      <c r="F44" s="13">
        <f t="shared" si="1"/>
        <v>1800000</v>
      </c>
    </row>
    <row r="45" spans="1:6" ht="27" x14ac:dyDescent="0.25">
      <c r="A45" s="11" t="s">
        <v>85</v>
      </c>
      <c r="B45" s="20" t="s">
        <v>86</v>
      </c>
      <c r="C45" s="15" t="s">
        <v>46</v>
      </c>
      <c r="D45" s="9">
        <v>1</v>
      </c>
      <c r="E45" s="8">
        <v>850000</v>
      </c>
      <c r="F45" s="13">
        <f t="shared" si="1"/>
        <v>850000</v>
      </c>
    </row>
    <row r="46" spans="1:6" ht="27" x14ac:dyDescent="0.25">
      <c r="A46" s="5" t="s">
        <v>87</v>
      </c>
      <c r="B46" s="17" t="s">
        <v>88</v>
      </c>
      <c r="C46" s="7"/>
      <c r="D46" s="9"/>
      <c r="E46" s="8"/>
      <c r="F46" s="13"/>
    </row>
    <row r="47" spans="1:6" ht="108" x14ac:dyDescent="0.25">
      <c r="A47" s="11" t="s">
        <v>73</v>
      </c>
      <c r="B47" s="14" t="s">
        <v>89</v>
      </c>
      <c r="C47" s="15" t="s">
        <v>46</v>
      </c>
      <c r="D47" s="9">
        <v>1</v>
      </c>
      <c r="E47" s="8">
        <v>139800</v>
      </c>
      <c r="F47" s="13">
        <f>D47*E47</f>
        <v>139800</v>
      </c>
    </row>
    <row r="48" spans="1:6" ht="94.5" x14ac:dyDescent="0.25">
      <c r="A48" s="11" t="s">
        <v>75</v>
      </c>
      <c r="B48" s="14" t="s">
        <v>90</v>
      </c>
      <c r="C48" s="15" t="s">
        <v>46</v>
      </c>
      <c r="D48" s="9">
        <v>5</v>
      </c>
      <c r="E48" s="8">
        <v>128000</v>
      </c>
      <c r="F48" s="13">
        <f>D48*E48</f>
        <v>640000</v>
      </c>
    </row>
    <row r="49" spans="1:6" ht="27" x14ac:dyDescent="0.25">
      <c r="A49" s="5" t="s">
        <v>91</v>
      </c>
      <c r="B49" s="6" t="s">
        <v>92</v>
      </c>
      <c r="C49" s="7"/>
      <c r="D49" s="13"/>
      <c r="E49" s="8"/>
      <c r="F49" s="13"/>
    </row>
    <row r="50" spans="1:6" ht="94.5" x14ac:dyDescent="0.25">
      <c r="A50" s="11" t="s">
        <v>93</v>
      </c>
      <c r="B50" s="12" t="s">
        <v>94</v>
      </c>
      <c r="C50" s="7" t="s">
        <v>5</v>
      </c>
      <c r="D50" s="9">
        <v>1</v>
      </c>
      <c r="E50" s="8">
        <v>1637600</v>
      </c>
      <c r="F50" s="13">
        <f>D50*E50</f>
        <v>1637600</v>
      </c>
    </row>
    <row r="51" spans="1:6" ht="27" x14ac:dyDescent="0.25">
      <c r="A51" s="11" t="s">
        <v>95</v>
      </c>
      <c r="B51" s="12" t="s">
        <v>96</v>
      </c>
      <c r="C51" s="7" t="s">
        <v>5</v>
      </c>
      <c r="D51" s="9">
        <v>1</v>
      </c>
      <c r="E51" s="8">
        <v>1250000</v>
      </c>
      <c r="F51" s="13">
        <f>D51*E51</f>
        <v>1250000</v>
      </c>
    </row>
    <row r="52" spans="1:6" ht="27" x14ac:dyDescent="0.25">
      <c r="A52" s="5" t="s">
        <v>97</v>
      </c>
      <c r="B52" s="6" t="s">
        <v>98</v>
      </c>
      <c r="C52" s="7"/>
      <c r="D52" s="9"/>
      <c r="E52" s="8"/>
      <c r="F52" s="13"/>
    </row>
    <row r="53" spans="1:6" ht="27" x14ac:dyDescent="0.25">
      <c r="A53" s="11" t="s">
        <v>99</v>
      </c>
      <c r="B53" s="12" t="s">
        <v>100</v>
      </c>
      <c r="C53" s="7" t="s">
        <v>5</v>
      </c>
      <c r="D53" s="9">
        <v>1</v>
      </c>
      <c r="E53" s="8">
        <v>950000</v>
      </c>
      <c r="F53" s="13">
        <f>D53*E53</f>
        <v>950000</v>
      </c>
    </row>
    <row r="54" spans="1:6" ht="27" x14ac:dyDescent="0.25">
      <c r="A54" s="11" t="s">
        <v>101</v>
      </c>
      <c r="B54" s="12" t="s">
        <v>102</v>
      </c>
      <c r="C54" s="7" t="s">
        <v>46</v>
      </c>
      <c r="D54" s="9">
        <v>5</v>
      </c>
      <c r="E54" s="8">
        <v>425000</v>
      </c>
      <c r="F54" s="13">
        <f>D54*E54</f>
        <v>2125000</v>
      </c>
    </row>
    <row r="55" spans="1:6" ht="40.5" x14ac:dyDescent="0.25">
      <c r="A55" s="11"/>
      <c r="B55" s="12" t="s">
        <v>103</v>
      </c>
      <c r="C55" s="7" t="s">
        <v>46</v>
      </c>
      <c r="D55" s="9"/>
      <c r="E55" s="8"/>
      <c r="F55" s="13"/>
    </row>
    <row r="56" spans="1:6" ht="27" x14ac:dyDescent="0.25">
      <c r="A56" s="11" t="s">
        <v>104</v>
      </c>
      <c r="B56" s="12" t="s">
        <v>105</v>
      </c>
      <c r="C56" s="7" t="s">
        <v>46</v>
      </c>
      <c r="D56" s="9">
        <v>11</v>
      </c>
      <c r="E56" s="8">
        <v>345000</v>
      </c>
      <c r="F56" s="13">
        <f>D56*E56</f>
        <v>3795000</v>
      </c>
    </row>
    <row r="57" spans="1:6" x14ac:dyDescent="0.25">
      <c r="A57" s="5">
        <v>8</v>
      </c>
      <c r="B57" s="6" t="s">
        <v>106</v>
      </c>
      <c r="C57" s="7"/>
      <c r="D57" s="9"/>
      <c r="E57" s="29"/>
      <c r="F57" s="18"/>
    </row>
    <row r="58" spans="1:6" ht="81" x14ac:dyDescent="0.25">
      <c r="A58" s="11" t="s">
        <v>107</v>
      </c>
      <c r="B58" s="12" t="s">
        <v>108</v>
      </c>
      <c r="C58" s="7" t="s">
        <v>46</v>
      </c>
      <c r="D58" s="9">
        <v>1</v>
      </c>
      <c r="E58" s="8">
        <v>1450000</v>
      </c>
      <c r="F58" s="13">
        <f>D58*E58</f>
        <v>1450000</v>
      </c>
    </row>
    <row r="59" spans="1:6" ht="40.5" x14ac:dyDescent="0.25">
      <c r="A59" s="11" t="s">
        <v>109</v>
      </c>
      <c r="B59" s="12" t="s">
        <v>110</v>
      </c>
      <c r="C59" s="7" t="s">
        <v>46</v>
      </c>
      <c r="D59" s="9">
        <v>1</v>
      </c>
      <c r="E59" s="29">
        <v>430000</v>
      </c>
      <c r="F59" s="13">
        <f>D59*E59</f>
        <v>430000</v>
      </c>
    </row>
    <row r="60" spans="1:6" ht="27" x14ac:dyDescent="0.25">
      <c r="A60" s="11" t="s">
        <v>111</v>
      </c>
      <c r="B60" s="12" t="s">
        <v>112</v>
      </c>
      <c r="C60" s="7" t="s">
        <v>113</v>
      </c>
      <c r="D60" s="9">
        <v>6</v>
      </c>
      <c r="E60" s="8">
        <v>45000</v>
      </c>
      <c r="F60" s="13">
        <f>D60*E60</f>
        <v>270000</v>
      </c>
    </row>
    <row r="61" spans="1:6" ht="40.5" x14ac:dyDescent="0.25">
      <c r="A61" s="11" t="s">
        <v>114</v>
      </c>
      <c r="B61" s="12" t="s">
        <v>115</v>
      </c>
      <c r="C61" s="7" t="s">
        <v>5</v>
      </c>
      <c r="D61" s="9">
        <v>1</v>
      </c>
      <c r="E61" s="8">
        <v>458000</v>
      </c>
      <c r="F61" s="13">
        <f>D61*E61</f>
        <v>458000</v>
      </c>
    </row>
    <row r="62" spans="1:6" ht="94.5" x14ac:dyDescent="0.25">
      <c r="A62" s="11" t="s">
        <v>116</v>
      </c>
      <c r="B62" s="30" t="s">
        <v>117</v>
      </c>
      <c r="C62" s="15" t="s">
        <v>118</v>
      </c>
      <c r="D62" s="9">
        <v>4</v>
      </c>
      <c r="E62" s="8">
        <v>75000</v>
      </c>
      <c r="F62" s="13">
        <f>D62*E62</f>
        <v>300000</v>
      </c>
    </row>
    <row r="63" spans="1:6" x14ac:dyDescent="0.25">
      <c r="A63" s="5">
        <v>9</v>
      </c>
      <c r="B63" s="6" t="s">
        <v>119</v>
      </c>
      <c r="C63" s="7"/>
      <c r="D63" s="9"/>
      <c r="E63" s="29"/>
      <c r="F63" s="18"/>
    </row>
    <row r="64" spans="1:6" ht="54" x14ac:dyDescent="0.25">
      <c r="A64" s="11" t="s">
        <v>120</v>
      </c>
      <c r="B64" s="12" t="s">
        <v>121</v>
      </c>
      <c r="C64" s="15" t="s">
        <v>118</v>
      </c>
      <c r="D64" s="9"/>
      <c r="E64" s="8"/>
      <c r="F64" s="13"/>
    </row>
    <row r="65" spans="1:6" ht="27" x14ac:dyDescent="0.25">
      <c r="A65" s="11" t="s">
        <v>122</v>
      </c>
      <c r="B65" s="14" t="s">
        <v>123</v>
      </c>
      <c r="C65" s="15" t="s">
        <v>46</v>
      </c>
      <c r="D65" s="9"/>
      <c r="E65" s="8"/>
      <c r="F65" s="13"/>
    </row>
    <row r="66" spans="1:6" ht="27" x14ac:dyDescent="0.25">
      <c r="A66" s="11" t="s">
        <v>124</v>
      </c>
      <c r="B66" s="12" t="s">
        <v>125</v>
      </c>
      <c r="C66" s="7" t="s">
        <v>70</v>
      </c>
      <c r="D66" s="9"/>
      <c r="E66" s="8"/>
      <c r="F66" s="13"/>
    </row>
    <row r="67" spans="1:6" ht="67.5" x14ac:dyDescent="0.25">
      <c r="A67" s="11" t="s">
        <v>126</v>
      </c>
      <c r="B67" s="12" t="s">
        <v>127</v>
      </c>
      <c r="C67" s="7" t="s">
        <v>46</v>
      </c>
      <c r="D67" s="9"/>
      <c r="E67" s="8"/>
      <c r="F67" s="13"/>
    </row>
    <row r="68" spans="1:6" x14ac:dyDescent="0.25">
      <c r="A68" s="11" t="s">
        <v>128</v>
      </c>
      <c r="B68" s="12" t="s">
        <v>129</v>
      </c>
      <c r="C68" s="15" t="s">
        <v>118</v>
      </c>
      <c r="D68" s="9"/>
      <c r="E68" s="8"/>
      <c r="F68" s="1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Riveros</dc:creator>
  <cp:lastModifiedBy>Laura Riveros</cp:lastModifiedBy>
  <dcterms:created xsi:type="dcterms:W3CDTF">2026-06-07T04:28:27Z</dcterms:created>
  <dcterms:modified xsi:type="dcterms:W3CDTF">2026-06-07T04:30:42Z</dcterms:modified>
</cp:coreProperties>
</file>