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8_{4C717B52-DCE8-40B9-8AF3-2E605CB603F9}" xr6:coauthVersionLast="47" xr6:coauthVersionMax="47" xr10:uidLastSave="{00000000-0000-0000-0000-000000000000}"/>
  <bookViews>
    <workbookView xWindow="14295" yWindow="0" windowWidth="14610" windowHeight="15585" xr2:uid="{B183B285-260B-4A2A-B593-12A4B74F7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7" i="1" l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2" i="1"/>
  <c r="E100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6" i="1"/>
  <c r="F65" i="1"/>
  <c r="F64" i="1"/>
  <c r="F63" i="1"/>
  <c r="F62" i="1"/>
  <c r="F61" i="1"/>
  <c r="F60" i="1"/>
  <c r="F58" i="1"/>
  <c r="F57" i="1"/>
  <c r="F55" i="1"/>
  <c r="F54" i="1"/>
  <c r="F53" i="1"/>
  <c r="F52" i="1"/>
  <c r="F51" i="1"/>
  <c r="F50" i="1"/>
  <c r="F49" i="1"/>
  <c r="F48" i="1"/>
  <c r="F47" i="1"/>
  <c r="F46" i="1"/>
  <c r="F45" i="1"/>
  <c r="D44" i="1"/>
  <c r="F42" i="1"/>
  <c r="F41" i="1"/>
  <c r="F40" i="1"/>
  <c r="F39" i="1"/>
  <c r="F38" i="1"/>
  <c r="F37" i="1"/>
  <c r="E36" i="1"/>
  <c r="F34" i="1"/>
  <c r="F33" i="1"/>
  <c r="F32" i="1"/>
  <c r="F29" i="1"/>
  <c r="F28" i="1"/>
  <c r="F27" i="1"/>
  <c r="F26" i="1"/>
  <c r="F25" i="1"/>
  <c r="F24" i="1"/>
  <c r="F23" i="1"/>
  <c r="F22" i="1"/>
  <c r="F18" i="1"/>
  <c r="F17" i="1"/>
  <c r="F16" i="1"/>
  <c r="F15" i="1"/>
  <c r="F14" i="1"/>
  <c r="E11" i="1"/>
  <c r="F9" i="1"/>
  <c r="F8" i="1"/>
  <c r="D6" i="1"/>
  <c r="F5" i="1"/>
  <c r="F4" i="1"/>
  <c r="F3" i="1"/>
  <c r="F59" i="1" l="1"/>
  <c r="F13" i="1"/>
  <c r="F121" i="1"/>
  <c r="F103" i="1"/>
  <c r="F67" i="1"/>
  <c r="F44" i="1"/>
  <c r="F43" i="1" s="1"/>
  <c r="F7" i="1"/>
  <c r="F6" i="1"/>
  <c r="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AA20F3F8-D817-4B95-B305-F9AC66793C4C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<sst xmlns="http://schemas.openxmlformats.org/spreadsheetml/2006/main" count="262" uniqueCount="158">
  <si>
    <t xml:space="preserve">PRELIMINARES </t>
  </si>
  <si>
    <t>Localizacion y replanteo (incluye local y bodega)</t>
  </si>
  <si>
    <t>m2</t>
  </si>
  <si>
    <t>Desmonte y cancelación de puntos sanitarios existentes</t>
  </si>
  <si>
    <t>un.</t>
  </si>
  <si>
    <t>Desconexión y desmonteTablero Electrico existente (indiferente del tamaño)</t>
  </si>
  <si>
    <t xml:space="preserve">un. </t>
  </si>
  <si>
    <t>Cerramiento provisional autoportante en drywall H:3.30m con estructura cada 60cm (incluye puerta en medidas enviadas por planos, refuerzo de madera, bisagras, cadena y candado)</t>
  </si>
  <si>
    <t>CUBIERTA</t>
  </si>
  <si>
    <t>Suministro e instalación de estructura metalica para cubierta  del módulo, acabado en color bronce , según espesificaciones de diseño.Incluye calculo estructural firmado, soportes, platinas y demas elementos requeridos para su correcta instalación; para soporte de vidrio templado 6mm en techo (Revisar planimetría y detalle en wrap up)</t>
  </si>
  <si>
    <t>Sumistro e instalación de vidrio templado 6mm (incluye sellado en rebordes con silicona transparente, anclajes y soportes requeridos para su correcta instalación)</t>
  </si>
  <si>
    <t>Suministro e instalación de estructura metalica en tubería estructural 150x100x4mm, 100x100x4mm, 150x50x4mm,  con estructura de soporte inferior en tubería 50x50x3mm.  Incluye platinas de conexión, amarre estructural, pintura</t>
  </si>
  <si>
    <t>kg</t>
  </si>
  <si>
    <t>Suministro e instalaicón de vidrio laminado 3+3 con pelicula pvb blanco hielo</t>
  </si>
  <si>
    <t>Capuchon Acero para columna</t>
  </si>
  <si>
    <t>Un</t>
  </si>
  <si>
    <t>BODEGA</t>
  </si>
  <si>
    <t>Suministro e instalación de enchape de piso ref. gres sahara (incluye pegante, dilatadores, boquilla epoxica ( a prueba de agua), limpieza y sellado de piso)</t>
  </si>
  <si>
    <t>Suministro e instalación de mediacaña en resina blanca perimetral de pisos (incluye accesorios esquineros, rinconeros, sellado en silicona superior e inferior y acabado en pintura epóxica blanca)</t>
  </si>
  <si>
    <t>ml</t>
  </si>
  <si>
    <t>Suministro e instalación de guardaescoba en mediacaña fundida en granito (incluye pulida, sellado y acabado en pintura epóxica blanca)</t>
  </si>
  <si>
    <t xml:space="preserve">Suministro e instalación de angeo para puerta metalica, escobilla inferior, superior y laterales, gato hidraulico y resanes e imperfectos por instalación. </t>
  </si>
  <si>
    <t>und</t>
  </si>
  <si>
    <t xml:space="preserve">Pintura de muro y techos con pintura acriltex a tres manos, incluye resane de muros y techos </t>
  </si>
  <si>
    <t xml:space="preserve">estuco en techo </t>
  </si>
  <si>
    <t xml:space="preserve">estampillado de muros con super board 8mm + empastada </t>
  </si>
  <si>
    <t>Pintura de tubería</t>
  </si>
  <si>
    <t>m</t>
  </si>
  <si>
    <t>Cielo raso en dry-wall, con estructura cada 60 cm (24"), perfileria rolada calibre 24, lámina de panel yeso de 1/2"; acabado con tratamiento para juntas indicado; incluye acabado y tres manos de pintura vinílica acriltecx segun diseño y elementos de fijación y anclaje.</t>
  </si>
  <si>
    <t>Suministro e instalación de Lampara  hermética fluorescente Led T8/32W bodega</t>
  </si>
  <si>
    <t>un</t>
  </si>
  <si>
    <t>Toma corriente con polo a tierra, 110V - (incluye aparato,  caja, accesorios, tubería eléctrica, cable y hermeticidad). Incluye canalización y cable hasta 3 m marca Centelsa.</t>
  </si>
  <si>
    <t>Regata en muro y piso</t>
  </si>
  <si>
    <t>Resane de muro por regata, incluye pañete y lijado</t>
  </si>
  <si>
    <t xml:space="preserve">Resane de piso por regata, incluye suministro de tabletas afectadas y emboquillada </t>
  </si>
  <si>
    <t>Suministro e instalación extractor de olores de 11" industrial (incluye ducteria, cableado e interruptor)</t>
  </si>
  <si>
    <t xml:space="preserve">Suministro e instalación de rejilla anticucharacha 3x2" en piso </t>
  </si>
  <si>
    <t xml:space="preserve">cambio de cerradura tipo </t>
  </si>
  <si>
    <t>Hermetización de tubería, tablero eléctrico, cajas</t>
  </si>
  <si>
    <t>ENCHAPES</t>
  </si>
  <si>
    <t xml:space="preserve">Suministro e intalación de enchape para barra posterior salpicadero según referencia de diseño  </t>
  </si>
  <si>
    <t xml:space="preserve">Suministro e intalación de enchape para frontal de barra y laterales en gres rojo, según referencia de diseño </t>
  </si>
  <si>
    <t>Suministro e instalación de muro de operaciones en tableta 9x27cm blanca</t>
  </si>
  <si>
    <t>Enchape a muro en formica muro fontal de barra, lateral y muros y puerta area barras clientes.</t>
  </si>
  <si>
    <t>PISOS</t>
  </si>
  <si>
    <t xml:space="preserve">Suministro e instalación de sobre piso para modulo de operaciones, en estructura metalica, con refuerzos internos para división de red hidrosanitaria e instalación de barra de operaciones, incluye estructura terminada y soldada, hermeticidad, sopresiso en lamina de superboard en 20mm asegurada y ajustada. Altura según planimetria </t>
  </si>
  <si>
    <t xml:space="preserve">Suministro e instación de piso en gres sahara según diseño, para sobrepiso de barra de operaciónes, incluye suministro y aplicación de boquilla plastica resistente al agua </t>
  </si>
  <si>
    <t>Suministro e instalación de guardaescoba en mediacaña fundida en granito (incluye pulida, sellado y acabado en pintura epóxica blanca) Se debe dejar el espacio correspondiente en el piso para fundirma y que quede nivelada con el piso. Para bodega y barra</t>
  </si>
  <si>
    <t xml:space="preserve">Suministro e instalación de guardaescobas perimetral a sobre piso metalico color bronce ( similar al del resto de la tienda) Incluye hermetización y elementos de fijación e instalación </t>
  </si>
  <si>
    <t>DRY WALL y SUPER BOARD</t>
  </si>
  <si>
    <t xml:space="preserve">Muro en Superboard espesor hasta 0,15m. 2 caras,con estructura cada 61 cm (24"), perfileria rolada calibre 26, lámina de fibrocemento de 1/2"; acabado con tratamiento para juntas; Incluye 3 manos de pintura según referencia de diseño. Incluye tapas, filos y dilataciones </t>
  </si>
  <si>
    <t xml:space="preserve">Muro en Superboard espesor hasta 0,15m. 1 cara,con estructura cada 61 cm (24"), perfileria rolada calibre 26, lámina de fibrocemento de 1/2"; acabado con tratamiento para juntas; Incluye 2 manos de pintura según referencia de diseño. Incluye tapas, filos y dilataciones </t>
  </si>
  <si>
    <t xml:space="preserve">Suministro e instalación de botones de fumigación en muros </t>
  </si>
  <si>
    <t>ud.</t>
  </si>
  <si>
    <t xml:space="preserve">Suministro e instalación de tapas de fumigación en muros </t>
  </si>
  <si>
    <r>
      <t xml:space="preserve">Suministro e instalación de tapa en super board para volumen central ( la tapa debe tapar el espacio que queda detras del salpicadero en el volumen central) de hasta 0,15 m estructura cada </t>
    </r>
    <r>
      <rPr>
        <sz val="8"/>
        <color rgb="FFFF0000"/>
        <rFont val="Arial"/>
        <family val="2"/>
      </rPr>
      <t>30</t>
    </r>
    <r>
      <rPr>
        <sz val="8"/>
        <color theme="1"/>
        <rFont val="Arial"/>
        <family val="2"/>
      </rPr>
      <t xml:space="preserve"> 61cm (24"), perfileria rolada calibre 26, lámina de fibrocemento de 1/2"; acabado con tratamiento para juntas; Incluye 3 manos de pintura según referencia de diseño. Incluye tapas, filos y dilataciones</t>
    </r>
  </si>
  <si>
    <t xml:space="preserve">Pintura de muro para alistamiento de pintura de arte. Acabado 2 manos en pintura vinilic wax yellow según acabados de diseño </t>
  </si>
  <si>
    <t xml:space="preserve">m2 </t>
  </si>
  <si>
    <t>INSTALACIONES HIDRAULICAS</t>
  </si>
  <si>
    <t>Suministro e instalación de punto hidraulico según planimetria. Incluye 2 m de tuberia a salida.</t>
  </si>
  <si>
    <t xml:space="preserve">Suministro e instalación de adaptador con salida en macho roscado de 1/2" para punto de maquina expresso, maquina y hielo y maquina de filtrado. </t>
  </si>
  <si>
    <t xml:space="preserve">Diseño hidro saniatio, se debe entregar planimetria </t>
  </si>
  <si>
    <t>Suministro e instalación de registros con su respectiva tapa ( Coldrink x2 , maquina de hielo x2 , espresso, rational, filstradora, llave agua filtrada, llave de agua potable x2) Según planimetria</t>
  </si>
  <si>
    <t>Suministro e instalación de tuberia de Ø 1/2" incluye accesorios.</t>
  </si>
  <si>
    <t>Cambio de tuberia flexible a tuberia rigida en trampa de grasas</t>
  </si>
  <si>
    <t>GL</t>
  </si>
  <si>
    <t xml:space="preserve">Suministro e instalación de regulador de presión </t>
  </si>
  <si>
    <t>Montaje de Cooldrink, Incluye todos los accesorios necesarios y suficientes para su correcto funcionamiento y purga del sistema</t>
  </si>
  <si>
    <t>INSTALACIONES SANITARIAS</t>
  </si>
  <si>
    <t xml:space="preserve">Puntos de desagüe en PVCS Ø 2"  incluye 2 m tubería a salida punto y buje reductor </t>
  </si>
  <si>
    <t>Suministro e instalación de tuberia sanitaria de Ø  3"</t>
  </si>
  <si>
    <t>Suministro e instalación de tuberia sanitaria de Ø 2"</t>
  </si>
  <si>
    <t>Suministro e instalación de caja lavadora para conexión equipos según detalle</t>
  </si>
  <si>
    <t>Conexión a punto cero PVC en dimensión existente</t>
  </si>
  <si>
    <t>Suministro e Instalacion Sifon de Piso Ø 2"</t>
  </si>
  <si>
    <t xml:space="preserve">Suministro e instalación de rejilla anticucarachas </t>
  </si>
  <si>
    <t>INSTALACIONES ELECTRICAS</t>
  </si>
  <si>
    <t xml:space="preserve">Suministro e instalación de regulador de picos de voltaje. </t>
  </si>
  <si>
    <t>ud</t>
  </si>
  <si>
    <t>Diseño electrico, incluye planimetria completa y firmada</t>
  </si>
  <si>
    <t>Suministro e instalación de tablero eléctrico trifásico pre-ensamblado con espacio para totalizador, puerta, chapa de 42 circuitos.</t>
  </si>
  <si>
    <t>Suministro e instalación tablero eléctrico regulado para 8 circuitos con regulador.</t>
  </si>
  <si>
    <t>Suministro e instalacion totalizador industrial marca LG  80 Amp graduable JV 1 para tienda.</t>
  </si>
  <si>
    <t>Certificación RETIE de instalaciones internas (Incluye visita certificador)</t>
  </si>
  <si>
    <t>Toma corriente con polo a tierra, 110V - (incluye aparato,  caja, accesorios, tubería eléctrica, canalización, hermeticidad y circuito electrico con cableado marca Centelsa.</t>
  </si>
  <si>
    <t>Toma corriente regulado con polo a tierra, 110V - (incluye aparato,  caja, accesorios, tubería eléctrica, canalización, hermeticidad y circuito electrico con cableado marca Centelsa.</t>
  </si>
  <si>
    <t>Toma corriente con polo a tierra GFCI , 110V - (incluye aparato,  caja, accesorios, tubería eléctrica, canalización, hermeticidad y circuito electrico con cableado marca Centelsa.</t>
  </si>
  <si>
    <t>Toma corriente con polo a tierra, 220V Para horno amana 30amp - (incluye aparato,  caja, accesorios, tubería eléctrica, canalización, hermeticidad y circuito electrico con cableado marca Centelsa.</t>
  </si>
  <si>
    <t>Toma corriente con polo a tierra, 220V para maquina espresso 50 amp - (incluye aparato,  caja, accesorios, tubería eléctrica, canalización, hermeticidad y circuito electrico con cableado marca Centelsa.</t>
  </si>
  <si>
    <t>Toma corriente con polo a tierra, 220V Para molinos amana 30amp - (incluye aparato,  caja, accesorios, tubería eléctrica, canalización, hermeticidad y circuito electrico con cableado marca Centelsa.</t>
  </si>
  <si>
    <t>Suministro e instalación tuberia conduit galvanizada EMT de Ø 1/2" (incluye accesorios)</t>
  </si>
  <si>
    <t>Suministro e instalación tuberia conduit galvanizada EMT  de Ø 3/4" (incluye accesorios)</t>
  </si>
  <si>
    <t>Suministro e instalación tuberia conduit galvanizada EMT  de Ø 1" (incluye accesorios)</t>
  </si>
  <si>
    <t>Suministro e instalación tuberia PVC  de  Ø 1/2" (incluye accesorios)</t>
  </si>
  <si>
    <t>Suministro e instalación tuberia PVC  de Ø 3/4" (incluye accesorios)</t>
  </si>
  <si>
    <t>Suministro e instalación tuberia PVC  de Ø 1" (incluye accesorios)</t>
  </si>
  <si>
    <t>SUMINISTRO E INSTALACIÓN DE CIRCUITO ELECTRICO No.12 LIBRE DE HALÓGENOS PARA CIRCUITOS DE ALIMENTACIÓN (1F+1N+1T)</t>
  </si>
  <si>
    <t>SUMINISTRO E INSTALACIÓN DE DE CIRCUITO ELECTRICO No.10 LIBRE DE HALÓGENOS PARA CIRCUITOS DE ALIMENTACIÓN (1F+1N+1T)</t>
  </si>
  <si>
    <t>Suministro e instalacion de breakers de 1*20 AMP</t>
  </si>
  <si>
    <t>Suministro e instalacion de breakers de 2*30 AMP</t>
  </si>
  <si>
    <t>Suministro e instalacion de breakers de 3*20 AMP</t>
  </si>
  <si>
    <t>Suministro e instalacion de breakers de 3*40 AMP</t>
  </si>
  <si>
    <t>Suministro e instalación de punta (cola) para aviso</t>
  </si>
  <si>
    <t>Suministro e instalación de interruptor sencillo on-off luz</t>
  </si>
  <si>
    <t>Suministro e instalación de interruptor doble on-off luz</t>
  </si>
  <si>
    <t>Suministro e instalación de fuente para luz led de 110 a 12 voltios para letrero o cintas LED</t>
  </si>
  <si>
    <t>Suministro e instalación de Etiquetado de tomas, interruptores, tableto eléctrico trifásico y tablero regulado</t>
  </si>
  <si>
    <t xml:space="preserve">Punto electrico reguladoa 110 para teclado de seguridad- (incluye aparato, caja, accesorios, tubería eléctrica y cable) Incluye canalizacion y cable hasta 3 m </t>
  </si>
  <si>
    <t>suministro en instalacion de cinta led en vitrinas</t>
  </si>
  <si>
    <t>suministro e instalacion de tomas de sobre poner - barra de corian</t>
  </si>
  <si>
    <t>Traslado Acometida eléctira en cable No. 8</t>
  </si>
  <si>
    <t>Gl</t>
  </si>
  <si>
    <t>Tubería para acceso de curva</t>
  </si>
  <si>
    <t xml:space="preserve">Punto electrico110  - (incluye aparato, caja, accesorios, tubería eléctrica y cable) Incluye canalizacion y cable hasta 3 m </t>
  </si>
  <si>
    <t>Instalaciones Datos  - Sonido y CCTV - Cabledo Estructurado- Mueble Rack</t>
  </si>
  <si>
    <t>Salida Para Datos - (incluye caja, accesorios, tubería eléctrica y cable UTP Cat 6). Incluye canalización y cable hasta 3 m</t>
  </si>
  <si>
    <t xml:space="preserve">Salida Para CCTV, ALARMAS Y SENSORES- (incluye caja rawelt 5800 o 2400, según espesificación de planimetria, con tapa ciega según corresponda, accesorios, tubería necesaria y cableado ). Cada punto debe tener 2 m de cola </t>
  </si>
  <si>
    <t>Suministro e instalación de puntos para red wifi 110 v</t>
  </si>
  <si>
    <t>Suministro e instalación de multitoma regulada para gabinete tecnico. Incluye 6 tomas dobles tipo HG y sistema de protección contra sobretensiones</t>
  </si>
  <si>
    <t>Suministro e instalación de patchpanel Cat-6 24 puertos tipo 110 AMP, raqueable.</t>
  </si>
  <si>
    <t>Suministro e instalación de Face plate para puntos e instalación en barra</t>
  </si>
  <si>
    <t>Suministro e instalación de Face doble plate para puntos e instalación en barra</t>
  </si>
  <si>
    <t xml:space="preserve">Suministro e instalación de Jacks </t>
  </si>
  <si>
    <t>Suministro e instalación de barredera de puertas (Incluye elementos de fijación)</t>
  </si>
  <si>
    <t>Suministro e instalación de Patch cord Categoría 6a de 1 m de longitud</t>
  </si>
  <si>
    <t>ILUMINACIÓN</t>
  </si>
  <si>
    <t xml:space="preserve">Suministro e instalación de Sálida para lámpara  incluye  tubería eléctrica, accesorios y circuito  </t>
  </si>
  <si>
    <t xml:space="preserve">Instalación de lámparas de mimbre o lámparas decorativas  (Incluye cable encauchetado y bombillo led de filamento tipo pera)        </t>
  </si>
  <si>
    <t>Suministro e instalación cable en PVC tipo conduit (cable encauchetado)</t>
  </si>
  <si>
    <t>Suministro e instalación de lampara de 1 m para barra</t>
  </si>
  <si>
    <t>Suministro e instalación de Lámparas de emergencia tipo mickey mouse en barra</t>
  </si>
  <si>
    <t>Suministro e instalación de Lámparas de emergencia tipo mickey mouse en bodega</t>
  </si>
  <si>
    <t>APARATOS SANITARIOS,  GRIFERIAS Y ACCESORIOS</t>
  </si>
  <si>
    <t>Suministo e instalacion de llave de jardín 1/2" para lavatraperos</t>
  </si>
  <si>
    <t>Suministro e instalacion de llave de agua filtrada  (incluye acoples, terminales, pegante y demas accesorios requeridos para correcta instalacion)</t>
  </si>
  <si>
    <t>Suministro e instalacion de llave sensor para lavaplatos  (incluye acoples, terminales, pegante y demas accesorios requeridos para correcta instalacion)</t>
  </si>
  <si>
    <t>Suministro e instalación cuelgatraperos para poceta</t>
  </si>
  <si>
    <t>EQUIPOS ESPECIALES</t>
  </si>
  <si>
    <t>Suministro e instalación extractor de olores de 11" industrial (incluye ducteria electrica, cableado e interruptor)</t>
  </si>
  <si>
    <t>ASEO Y ENTREGA</t>
  </si>
  <si>
    <t>Aseo de obra, una cuadrilla (2 personas) (se debe incluir soportes) - últimos 7 días de ejecución de obra (el resto de días bajo responsabilidad del personal en sitio se debe garantizar la limpieza de pasillos y zonas comunes del centro comercial</t>
  </si>
  <si>
    <t>dia</t>
  </si>
  <si>
    <t>Trasciego de escombros horizontal o vertical hasta 50m</t>
  </si>
  <si>
    <t>viaj.</t>
  </si>
  <si>
    <r>
      <t xml:space="preserve">Cargue de volqueta, y viaje de volqueta, se debe incluir </t>
    </r>
    <r>
      <rPr>
        <sz val="8"/>
        <color rgb="FFFF0000"/>
        <rFont val="Arial"/>
        <family val="2"/>
      </rPr>
      <t xml:space="preserve">certificado de disposición final </t>
    </r>
  </si>
  <si>
    <t>EQUIPOS</t>
  </si>
  <si>
    <t xml:space="preserve">Alquiler de andamio certificado, se debe incluir certificado </t>
  </si>
  <si>
    <t>sem</t>
  </si>
  <si>
    <t xml:space="preserve">Alquiler de 1 UND de escalera certificada de 4 m de alto, se debe incluir certificado </t>
  </si>
  <si>
    <t>REFUERZOS</t>
  </si>
  <si>
    <t xml:space="preserve">Refuerzo en tabla burra para pantallas y mueble de mercadeo superior </t>
  </si>
  <si>
    <t xml:space="preserve">Volumen entamborado metalico color bronce con refuerzos al interior  y tomas para tvs ( según planos de diseño) </t>
  </si>
  <si>
    <t>gl</t>
  </si>
  <si>
    <t>item</t>
  </si>
  <si>
    <t>descripcion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</si>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</sst>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8" formatCode="d&quot; de &quot;mmm&quot; de &quot;yy"/>
    <numFmt numFmtId="169" formatCode="#,##0.0_ ;[Red]\-#,##0.0\ "/>
    <numFmt numFmtId="170" formatCode="_(* #,##0_);_(* \(#,##0\);_(* \-_);_(@_)"/>
    <numFmt numFmtId="171" formatCode="_-&quot;$&quot;\ * #,##0.00_-;\-&quot;$&quot;\ * #,##0.00_-;_-&quot;$&quot;\ * &quot;-&quot;??_-;_-@"/>
    <numFmt numFmtId="172" formatCode="0.0"/>
    <numFmt numFmtId="173" formatCode="#,##0.00_ ;[Red]\-#,##0.00\ "/>
    <numFmt numFmtId="174" formatCode="#,##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169" fontId="2" fillId="2" borderId="2" xfId="0" applyNumberFormat="1" applyFont="1" applyFill="1" applyBorder="1" applyAlignment="1">
      <alignment horizontal="center" vertical="center"/>
    </xf>
    <xf numFmtId="170" fontId="2" fillId="2" borderId="2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169" fontId="3" fillId="3" borderId="2" xfId="0" applyNumberFormat="1" applyFont="1" applyFill="1" applyBorder="1" applyAlignment="1">
      <alignment horizontal="center" vertical="center"/>
    </xf>
    <xf numFmtId="171" fontId="3" fillId="3" borderId="2" xfId="0" applyNumberFormat="1" applyFont="1" applyFill="1" applyBorder="1" applyAlignment="1">
      <alignment horizontal="center" vertical="center"/>
    </xf>
    <xf numFmtId="171" fontId="3" fillId="3" borderId="2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72" fontId="2" fillId="0" borderId="2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71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wrapText="1"/>
    </xf>
    <xf numFmtId="3" fontId="3" fillId="3" borderId="2" xfId="0" applyNumberFormat="1" applyFont="1" applyFill="1" applyBorder="1" applyAlignment="1">
      <alignment horizontal="center" vertical="center"/>
    </xf>
    <xf numFmtId="173" fontId="2" fillId="0" borderId="2" xfId="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172" fontId="2" fillId="4" borderId="2" xfId="0" applyNumberFormat="1" applyFont="1" applyFill="1" applyBorder="1" applyAlignment="1">
      <alignment horizontal="center" vertical="center"/>
    </xf>
    <xf numFmtId="169" fontId="2" fillId="4" borderId="2" xfId="0" applyNumberFormat="1" applyFont="1" applyFill="1" applyBorder="1" applyAlignment="1">
      <alignment horizontal="center" vertical="center"/>
    </xf>
    <xf numFmtId="171" fontId="2" fillId="4" borderId="2" xfId="0" applyNumberFormat="1" applyFont="1" applyFill="1" applyBorder="1" applyAlignment="1">
      <alignment vertical="center"/>
    </xf>
    <xf numFmtId="173" fontId="2" fillId="5" borderId="2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172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71" fontId="5" fillId="0" borderId="2" xfId="0" applyNumberFormat="1" applyFont="1" applyBorder="1" applyAlignment="1">
      <alignment vertical="center"/>
    </xf>
    <xf numFmtId="0" fontId="2" fillId="6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vertical="center" wrapText="1"/>
    </xf>
    <xf numFmtId="172" fontId="2" fillId="6" borderId="2" xfId="0" applyNumberFormat="1" applyFont="1" applyFill="1" applyBorder="1" applyAlignment="1">
      <alignment horizontal="center" vertical="center"/>
    </xf>
    <xf numFmtId="169" fontId="2" fillId="6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171" fontId="2" fillId="6" borderId="2" xfId="0" applyNumberFormat="1" applyFont="1" applyFill="1" applyBorder="1" applyAlignment="1">
      <alignment vertical="center"/>
    </xf>
    <xf numFmtId="0" fontId="5" fillId="0" borderId="2" xfId="0" applyFont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3" fontId="2" fillId="4" borderId="2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44" fontId="2" fillId="0" borderId="2" xfId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44" fontId="5" fillId="0" borderId="2" xfId="1" applyFont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3" fontId="5" fillId="0" borderId="2" xfId="0" applyNumberFormat="1" applyFont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 wrapText="1"/>
    </xf>
    <xf numFmtId="3" fontId="2" fillId="4" borderId="2" xfId="0" applyNumberFormat="1" applyFont="1" applyFill="1" applyBorder="1" applyAlignment="1">
      <alignment horizontal="left" vertical="top"/>
    </xf>
    <xf numFmtId="169" fontId="2" fillId="4" borderId="2" xfId="0" applyNumberFormat="1" applyFont="1" applyFill="1" applyBorder="1" applyAlignment="1">
      <alignment horizontal="left" vertical="top"/>
    </xf>
    <xf numFmtId="44" fontId="2" fillId="4" borderId="2" xfId="1" applyFont="1" applyFill="1" applyBorder="1" applyAlignment="1">
      <alignment horizontal="left" vertical="top"/>
    </xf>
    <xf numFmtId="171" fontId="2" fillId="4" borderId="2" xfId="0" applyNumberFormat="1" applyFont="1" applyFill="1" applyBorder="1" applyAlignment="1">
      <alignment horizontal="left" vertical="top"/>
    </xf>
    <xf numFmtId="44" fontId="3" fillId="3" borderId="2" xfId="1" applyFont="1" applyFill="1" applyBorder="1" applyAlignment="1">
      <alignment horizontal="center" vertical="center"/>
    </xf>
    <xf numFmtId="0" fontId="4" fillId="6" borderId="1" xfId="0" quotePrefix="1" applyFont="1" applyFill="1" applyBorder="1" applyAlignment="1">
      <alignment horizontal="center" vertical="center" wrapText="1"/>
    </xf>
    <xf numFmtId="174" fontId="6" fillId="0" borderId="2" xfId="0" applyNumberFormat="1" applyFont="1" applyBorder="1" applyAlignment="1">
      <alignment horizontal="center" vertical="center"/>
    </xf>
    <xf numFmtId="0" fontId="2" fillId="6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/>
    </xf>
    <xf numFmtId="168" fontId="2" fillId="2" borderId="2" xfId="0" applyNumberFormat="1" applyFont="1" applyFill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B0AB-57E7-47FA-832A-052E5ADCA143}">
  <dimension ref="A1:F137"/>
  <sheetViews>
    <sheetView tabSelected="1" workbookViewId="0">
      <selection activeCell="F1" sqref="F1"/>
    </sheetView>
  </sheetViews>
  <sheetFormatPr baseColWidth="10" defaultRowHeight="15" x14ac:dyDescent="0.25"/>
  <cols>
    <col min="2" max="2" width="38.140625" bestFit="1" customWidth="1"/>
    <col min="6" max="6" width="13.28515625" bestFit="1" customWidth="1"/>
  </cols>
  <sheetData>
    <row r="1" spans="1:6" x14ac:dyDescent="0.25">
      <c r="A1" s="64" t="s">
        <v>153</v>
      </c>
      <c r="B1" s="65" t="s">
        <v>154</v>
      </c>
      <c r="C1" s="1" t="s">
        <v>30</v>
      </c>
      <c r="D1" s="2" t="s">
        <v>155</v>
      </c>
      <c r="E1" s="3" t="s">
        <v>156</v>
      </c>
      <c r="F1" s="4" t="s">
        <v>157</v>
      </c>
    </row>
    <row r="2" spans="1:6" ht="22.5" x14ac:dyDescent="0.25">
      <c r="A2" s="5">
        <v>1</v>
      </c>
      <c r="B2" s="6" t="s">
        <v>0</v>
      </c>
      <c r="C2" s="7"/>
      <c r="D2" s="8"/>
      <c r="E2" s="9"/>
      <c r="F2" s="10">
        <f>SUM(F3:F6)</f>
        <v>6346950</v>
      </c>
    </row>
    <row r="3" spans="1:6" x14ac:dyDescent="0.25">
      <c r="A3" s="11"/>
      <c r="B3" s="12" t="s">
        <v>1</v>
      </c>
      <c r="C3" s="13" t="s">
        <v>2</v>
      </c>
      <c r="D3" s="14">
        <v>37</v>
      </c>
      <c r="E3" s="15">
        <v>6808.333333333333</v>
      </c>
      <c r="F3" s="15">
        <f>D3*E3</f>
        <v>251908.33333333331</v>
      </c>
    </row>
    <row r="4" spans="1:6" ht="23.25" x14ac:dyDescent="0.25">
      <c r="A4" s="11"/>
      <c r="B4" s="16" t="s">
        <v>3</v>
      </c>
      <c r="C4" s="17" t="s">
        <v>4</v>
      </c>
      <c r="D4" s="14">
        <v>1</v>
      </c>
      <c r="E4" s="15">
        <v>356250</v>
      </c>
      <c r="F4" s="15">
        <f t="shared" ref="F4:F9" si="0">D4*E4</f>
        <v>356250</v>
      </c>
    </row>
    <row r="5" spans="1:6" ht="23.25" x14ac:dyDescent="0.25">
      <c r="A5" s="11"/>
      <c r="B5" s="16" t="s">
        <v>5</v>
      </c>
      <c r="C5" s="17" t="s">
        <v>6</v>
      </c>
      <c r="D5" s="14">
        <v>1</v>
      </c>
      <c r="E5" s="15">
        <v>435416.66666666663</v>
      </c>
      <c r="F5" s="15">
        <f t="shared" si="0"/>
        <v>435416.66666666663</v>
      </c>
    </row>
    <row r="6" spans="1:6" ht="45" x14ac:dyDescent="0.25">
      <c r="A6" s="11"/>
      <c r="B6" s="12" t="s">
        <v>7</v>
      </c>
      <c r="C6" s="13" t="s">
        <v>2</v>
      </c>
      <c r="D6" s="14">
        <f>35*3.3</f>
        <v>115.5</v>
      </c>
      <c r="E6" s="15">
        <v>45916.666666666664</v>
      </c>
      <c r="F6" s="15">
        <f t="shared" si="0"/>
        <v>5303375</v>
      </c>
    </row>
    <row r="7" spans="1:6" x14ac:dyDescent="0.25">
      <c r="A7" s="5">
        <v>2</v>
      </c>
      <c r="B7" s="18" t="s">
        <v>8</v>
      </c>
      <c r="C7" s="19"/>
      <c r="D7" s="8"/>
      <c r="E7" s="19">
        <v>0</v>
      </c>
      <c r="F7" s="10">
        <f>SUM(F8:F9)</f>
        <v>41057812.5</v>
      </c>
    </row>
    <row r="8" spans="1:6" ht="78.75" x14ac:dyDescent="0.25">
      <c r="A8" s="11"/>
      <c r="B8" s="12" t="s">
        <v>9</v>
      </c>
      <c r="C8" s="13" t="s">
        <v>2</v>
      </c>
      <c r="D8" s="14">
        <v>37</v>
      </c>
      <c r="E8" s="15">
        <v>347691.44144144142</v>
      </c>
      <c r="F8" s="15">
        <f t="shared" si="0"/>
        <v>12864583.333333332</v>
      </c>
    </row>
    <row r="9" spans="1:6" ht="45" x14ac:dyDescent="0.25">
      <c r="A9" s="11"/>
      <c r="B9" s="12" t="s">
        <v>10</v>
      </c>
      <c r="C9" s="13" t="s">
        <v>2</v>
      </c>
      <c r="D9" s="14">
        <v>37</v>
      </c>
      <c r="E9" s="15">
        <v>761979.16666666663</v>
      </c>
      <c r="F9" s="15">
        <f t="shared" si="0"/>
        <v>28193229.166666664</v>
      </c>
    </row>
    <row r="10" spans="1:6" ht="56.25" x14ac:dyDescent="0.25">
      <c r="A10" s="11"/>
      <c r="B10" s="12" t="s">
        <v>11</v>
      </c>
      <c r="C10" s="13" t="s">
        <v>12</v>
      </c>
      <c r="D10" s="14"/>
      <c r="E10" s="20">
        <v>17152</v>
      </c>
      <c r="F10" s="15"/>
    </row>
    <row r="11" spans="1:6" ht="22.5" x14ac:dyDescent="0.25">
      <c r="A11" s="21"/>
      <c r="B11" s="22" t="s">
        <v>13</v>
      </c>
      <c r="C11" s="23" t="s">
        <v>2</v>
      </c>
      <c r="D11" s="24"/>
      <c r="E11" s="20">
        <f>(29972611+1785120)/36*1.2</f>
        <v>1058591.0333333334</v>
      </c>
      <c r="F11" s="25"/>
    </row>
    <row r="12" spans="1:6" x14ac:dyDescent="0.25">
      <c r="A12" s="21"/>
      <c r="B12" s="22" t="s">
        <v>14</v>
      </c>
      <c r="C12" s="23" t="s">
        <v>15</v>
      </c>
      <c r="D12" s="24"/>
      <c r="E12" s="26">
        <v>245000</v>
      </c>
      <c r="F12" s="25"/>
    </row>
    <row r="13" spans="1:6" x14ac:dyDescent="0.25">
      <c r="A13" s="5">
        <v>3</v>
      </c>
      <c r="B13" s="18" t="s">
        <v>16</v>
      </c>
      <c r="C13" s="19"/>
      <c r="D13" s="8"/>
      <c r="E13" s="19">
        <v>0</v>
      </c>
      <c r="F13" s="10">
        <f>SUM(F14:F29)</f>
        <v>7215408.333333334</v>
      </c>
    </row>
    <row r="14" spans="1:6" ht="45" x14ac:dyDescent="0.25">
      <c r="A14" s="27"/>
      <c r="B14" s="12" t="s">
        <v>17</v>
      </c>
      <c r="C14" s="13" t="s">
        <v>2</v>
      </c>
      <c r="D14" s="14">
        <v>20</v>
      </c>
      <c r="E14" s="17">
        <v>83125</v>
      </c>
      <c r="F14" s="15">
        <f t="shared" ref="F14:F33" si="1">D14*E14</f>
        <v>1662500</v>
      </c>
    </row>
    <row r="15" spans="1:6" ht="45" x14ac:dyDescent="0.25">
      <c r="A15" s="27"/>
      <c r="B15" s="12" t="s">
        <v>18</v>
      </c>
      <c r="C15" s="13" t="s">
        <v>19</v>
      </c>
      <c r="D15" s="14">
        <v>18</v>
      </c>
      <c r="E15" s="17">
        <v>52170.833333333328</v>
      </c>
      <c r="F15" s="15">
        <f t="shared" si="1"/>
        <v>939074.99999999988</v>
      </c>
    </row>
    <row r="16" spans="1:6" ht="33.75" x14ac:dyDescent="0.25">
      <c r="A16" s="28"/>
      <c r="B16" s="29" t="s">
        <v>20</v>
      </c>
      <c r="C16" s="30" t="s">
        <v>19</v>
      </c>
      <c r="D16" s="31">
        <v>18</v>
      </c>
      <c r="E16" s="32">
        <v>38395.833333333328</v>
      </c>
      <c r="F16" s="33">
        <f t="shared" si="1"/>
        <v>691124.99999999988</v>
      </c>
    </row>
    <row r="17" spans="1:6" ht="33.75" x14ac:dyDescent="0.25">
      <c r="A17" s="27"/>
      <c r="B17" s="12" t="s">
        <v>21</v>
      </c>
      <c r="C17" s="13" t="s">
        <v>22</v>
      </c>
      <c r="D17" s="14">
        <v>1</v>
      </c>
      <c r="E17" s="17">
        <v>300833.33333333331</v>
      </c>
      <c r="F17" s="15">
        <f t="shared" si="1"/>
        <v>300833.33333333331</v>
      </c>
    </row>
    <row r="18" spans="1:6" ht="22.5" x14ac:dyDescent="0.25">
      <c r="A18" s="28"/>
      <c r="B18" s="29" t="s">
        <v>23</v>
      </c>
      <c r="C18" s="30" t="s">
        <v>2</v>
      </c>
      <c r="D18" s="31">
        <v>1</v>
      </c>
      <c r="E18" s="32">
        <v>41166.666666666664</v>
      </c>
      <c r="F18" s="33">
        <f t="shared" si="1"/>
        <v>41166.666666666664</v>
      </c>
    </row>
    <row r="19" spans="1:6" x14ac:dyDescent="0.25">
      <c r="A19" s="34"/>
      <c r="B19" s="35" t="s">
        <v>24</v>
      </c>
      <c r="C19" s="36" t="s">
        <v>2</v>
      </c>
      <c r="D19" s="37"/>
      <c r="E19" s="38">
        <v>12800</v>
      </c>
      <c r="F19" s="39"/>
    </row>
    <row r="20" spans="1:6" ht="22.5" x14ac:dyDescent="0.25">
      <c r="A20" s="34"/>
      <c r="B20" s="35" t="s">
        <v>25</v>
      </c>
      <c r="C20" s="36" t="s">
        <v>2</v>
      </c>
      <c r="D20" s="37"/>
      <c r="E20" s="38">
        <v>120500</v>
      </c>
      <c r="F20" s="39"/>
    </row>
    <row r="21" spans="1:6" x14ac:dyDescent="0.25">
      <c r="A21" s="34"/>
      <c r="B21" s="35" t="s">
        <v>26</v>
      </c>
      <c r="C21" s="36" t="s">
        <v>27</v>
      </c>
      <c r="D21" s="37"/>
      <c r="E21" s="38">
        <v>15600</v>
      </c>
      <c r="F21" s="39"/>
    </row>
    <row r="22" spans="1:6" ht="67.5" x14ac:dyDescent="0.25">
      <c r="A22" s="28"/>
      <c r="B22" s="29" t="s">
        <v>28</v>
      </c>
      <c r="C22" s="30" t="s">
        <v>2</v>
      </c>
      <c r="D22" s="31">
        <v>20</v>
      </c>
      <c r="E22" s="32">
        <v>62462.5</v>
      </c>
      <c r="F22" s="33">
        <f t="shared" si="1"/>
        <v>1249250</v>
      </c>
    </row>
    <row r="23" spans="1:6" ht="23.25" x14ac:dyDescent="0.25">
      <c r="A23" s="27"/>
      <c r="B23" s="16" t="s">
        <v>29</v>
      </c>
      <c r="C23" s="13" t="s">
        <v>30</v>
      </c>
      <c r="D23" s="14">
        <v>4</v>
      </c>
      <c r="E23" s="17">
        <v>98958.333333333328</v>
      </c>
      <c r="F23" s="15">
        <f t="shared" si="1"/>
        <v>395833.33333333331</v>
      </c>
    </row>
    <row r="24" spans="1:6" ht="45.75" x14ac:dyDescent="0.25">
      <c r="A24" s="27"/>
      <c r="B24" s="16" t="s">
        <v>31</v>
      </c>
      <c r="C24" s="13" t="s">
        <v>30</v>
      </c>
      <c r="D24" s="13">
        <v>4</v>
      </c>
      <c r="E24" s="17">
        <v>91041.666666666657</v>
      </c>
      <c r="F24" s="15">
        <f t="shared" si="1"/>
        <v>364166.66666666663</v>
      </c>
    </row>
    <row r="25" spans="1:6" x14ac:dyDescent="0.25">
      <c r="A25" s="28"/>
      <c r="B25" s="29" t="s">
        <v>32</v>
      </c>
      <c r="C25" s="30" t="s">
        <v>19</v>
      </c>
      <c r="D25" s="31">
        <v>5</v>
      </c>
      <c r="E25" s="32">
        <v>11875</v>
      </c>
      <c r="F25" s="33">
        <f t="shared" si="1"/>
        <v>59375</v>
      </c>
    </row>
    <row r="26" spans="1:6" x14ac:dyDescent="0.25">
      <c r="A26" s="28"/>
      <c r="B26" s="29" t="s">
        <v>33</v>
      </c>
      <c r="C26" s="30" t="s">
        <v>19</v>
      </c>
      <c r="D26" s="31">
        <v>5</v>
      </c>
      <c r="E26" s="32">
        <v>19791.666666666664</v>
      </c>
      <c r="F26" s="33">
        <f t="shared" si="1"/>
        <v>98958.333333333314</v>
      </c>
    </row>
    <row r="27" spans="1:6" ht="22.5" x14ac:dyDescent="0.25">
      <c r="A27" s="28"/>
      <c r="B27" s="29" t="s">
        <v>34</v>
      </c>
      <c r="C27" s="30" t="s">
        <v>2</v>
      </c>
      <c r="D27" s="31">
        <v>5</v>
      </c>
      <c r="E27" s="32">
        <v>98958.333333333328</v>
      </c>
      <c r="F27" s="33">
        <f t="shared" si="1"/>
        <v>494791.66666666663</v>
      </c>
    </row>
    <row r="28" spans="1:6" ht="23.25" x14ac:dyDescent="0.25">
      <c r="A28" s="28"/>
      <c r="B28" s="40" t="s">
        <v>35</v>
      </c>
      <c r="C28" s="32" t="s">
        <v>30</v>
      </c>
      <c r="D28" s="31">
        <v>2</v>
      </c>
      <c r="E28" s="32">
        <v>383958.33333333331</v>
      </c>
      <c r="F28" s="33">
        <f t="shared" si="1"/>
        <v>767916.66666666663</v>
      </c>
    </row>
    <row r="29" spans="1:6" ht="22.5" x14ac:dyDescent="0.25">
      <c r="A29" s="27"/>
      <c r="B29" s="12" t="s">
        <v>36</v>
      </c>
      <c r="C29" s="13" t="s">
        <v>22</v>
      </c>
      <c r="D29" s="14">
        <v>2</v>
      </c>
      <c r="E29" s="17">
        <v>75208.333333333328</v>
      </c>
      <c r="F29" s="15">
        <f t="shared" si="1"/>
        <v>150416.66666666666</v>
      </c>
    </row>
    <row r="30" spans="1:6" x14ac:dyDescent="0.25">
      <c r="A30" s="41"/>
      <c r="B30" s="22" t="s">
        <v>37</v>
      </c>
      <c r="C30" s="23" t="s">
        <v>22</v>
      </c>
      <c r="D30" s="24"/>
      <c r="E30" s="42">
        <v>220000</v>
      </c>
      <c r="F30" s="25"/>
    </row>
    <row r="31" spans="1:6" x14ac:dyDescent="0.25">
      <c r="A31" s="41"/>
      <c r="B31" s="22" t="s">
        <v>38</v>
      </c>
      <c r="C31" s="23" t="s">
        <v>22</v>
      </c>
      <c r="D31" s="24"/>
      <c r="E31" s="42">
        <v>122500</v>
      </c>
      <c r="F31" s="25"/>
    </row>
    <row r="32" spans="1:6" x14ac:dyDescent="0.25">
      <c r="A32" s="43">
        <v>4</v>
      </c>
      <c r="B32" s="44" t="s">
        <v>39</v>
      </c>
      <c r="C32" s="19"/>
      <c r="D32" s="8"/>
      <c r="E32" s="19">
        <v>0</v>
      </c>
      <c r="F32" s="9">
        <f>SUM(F33:F34)</f>
        <v>1563834.5833333333</v>
      </c>
    </row>
    <row r="33" spans="1:6" ht="23.25" x14ac:dyDescent="0.25">
      <c r="A33" s="45"/>
      <c r="B33" s="16" t="s">
        <v>40</v>
      </c>
      <c r="C33" s="17" t="s">
        <v>19</v>
      </c>
      <c r="D33" s="14">
        <v>5.0999999999999996</v>
      </c>
      <c r="E33" s="46">
        <v>62304.166666666664</v>
      </c>
      <c r="F33" s="15">
        <f t="shared" si="1"/>
        <v>317751.24999999994</v>
      </c>
    </row>
    <row r="34" spans="1:6" ht="34.5" x14ac:dyDescent="0.25">
      <c r="A34" s="47"/>
      <c r="B34" s="40" t="s">
        <v>41</v>
      </c>
      <c r="C34" s="32" t="s">
        <v>19</v>
      </c>
      <c r="D34" s="31">
        <v>20</v>
      </c>
      <c r="E34" s="48">
        <v>62304.166666666664</v>
      </c>
      <c r="F34" s="33">
        <f>D34*E34</f>
        <v>1246083.3333333333</v>
      </c>
    </row>
    <row r="35" spans="1:6" ht="22.5" x14ac:dyDescent="0.25">
      <c r="A35" s="49"/>
      <c r="B35" s="50" t="s">
        <v>42</v>
      </c>
      <c r="C35" s="51" t="s">
        <v>2</v>
      </c>
      <c r="D35" s="31"/>
      <c r="E35" s="48">
        <v>288000</v>
      </c>
      <c r="F35" s="33"/>
    </row>
    <row r="36" spans="1:6" ht="22.5" x14ac:dyDescent="0.25">
      <c r="A36" s="49"/>
      <c r="B36" s="52" t="s">
        <v>43</v>
      </c>
      <c r="C36" s="53" t="s">
        <v>2</v>
      </c>
      <c r="D36" s="54"/>
      <c r="E36" s="55">
        <f>2000000*1.2/6.96</f>
        <v>344827.58620689658</v>
      </c>
      <c r="F36" s="56"/>
    </row>
    <row r="37" spans="1:6" x14ac:dyDescent="0.25">
      <c r="A37" s="43">
        <v>5</v>
      </c>
      <c r="B37" s="44" t="s">
        <v>44</v>
      </c>
      <c r="C37" s="19"/>
      <c r="D37" s="8"/>
      <c r="E37" s="57">
        <v>0</v>
      </c>
      <c r="F37" s="9">
        <f>SUM(F38:F42)</f>
        <v>17270683.333333332</v>
      </c>
    </row>
    <row r="38" spans="1:6" ht="90.75" x14ac:dyDescent="0.25">
      <c r="A38" s="45"/>
      <c r="B38" s="16" t="s">
        <v>45</v>
      </c>
      <c r="C38" s="17" t="s">
        <v>2</v>
      </c>
      <c r="D38" s="14">
        <v>37</v>
      </c>
      <c r="E38" s="46">
        <v>242091.66666666666</v>
      </c>
      <c r="F38" s="15">
        <f>D38*E38</f>
        <v>8957391.666666666</v>
      </c>
    </row>
    <row r="39" spans="1:6" ht="45" x14ac:dyDescent="0.25">
      <c r="A39" s="45"/>
      <c r="B39" s="12" t="s">
        <v>46</v>
      </c>
      <c r="C39" s="17" t="s">
        <v>2</v>
      </c>
      <c r="D39" s="14">
        <v>37</v>
      </c>
      <c r="E39" s="46">
        <v>83125</v>
      </c>
      <c r="F39" s="15">
        <f>D39*E39</f>
        <v>3075625</v>
      </c>
    </row>
    <row r="40" spans="1:6" ht="67.5" x14ac:dyDescent="0.25">
      <c r="A40" s="47"/>
      <c r="B40" s="29" t="s">
        <v>47</v>
      </c>
      <c r="C40" s="32" t="s">
        <v>19</v>
      </c>
      <c r="D40" s="31">
        <v>40</v>
      </c>
      <c r="E40" s="48">
        <v>38395.833333333328</v>
      </c>
      <c r="F40" s="33">
        <f>D40*E40</f>
        <v>1535833.333333333</v>
      </c>
    </row>
    <row r="41" spans="1:6" ht="45" x14ac:dyDescent="0.25">
      <c r="A41" s="45"/>
      <c r="B41" s="12" t="s">
        <v>18</v>
      </c>
      <c r="C41" s="17" t="s">
        <v>19</v>
      </c>
      <c r="D41" s="14">
        <v>40</v>
      </c>
      <c r="E41" s="46">
        <v>52170.833333333328</v>
      </c>
      <c r="F41" s="15">
        <f>D41*E41</f>
        <v>2086833.333333333</v>
      </c>
    </row>
    <row r="42" spans="1:6" ht="45" x14ac:dyDescent="0.25">
      <c r="A42" s="45"/>
      <c r="B42" s="12" t="s">
        <v>48</v>
      </c>
      <c r="C42" s="17" t="s">
        <v>19</v>
      </c>
      <c r="D42" s="14">
        <v>24</v>
      </c>
      <c r="E42" s="46">
        <v>67291.666666666657</v>
      </c>
      <c r="F42" s="15">
        <f>D42*E42</f>
        <v>1614999.9999999998</v>
      </c>
    </row>
    <row r="43" spans="1:6" ht="34.5" x14ac:dyDescent="0.25">
      <c r="A43" s="43">
        <v>6</v>
      </c>
      <c r="B43" s="18" t="s">
        <v>49</v>
      </c>
      <c r="C43" s="19"/>
      <c r="D43" s="8"/>
      <c r="E43" s="57">
        <v>0</v>
      </c>
      <c r="F43" s="9">
        <f>SUM(F44:F47)</f>
        <v>2256800.2083333335</v>
      </c>
    </row>
    <row r="44" spans="1:6" ht="68.25" x14ac:dyDescent="0.25">
      <c r="A44" s="45"/>
      <c r="B44" s="16" t="s">
        <v>50</v>
      </c>
      <c r="C44" s="17" t="s">
        <v>2</v>
      </c>
      <c r="D44" s="14">
        <f>1.7+5.5</f>
        <v>7.2</v>
      </c>
      <c r="E44" s="46">
        <v>150179.16666666666</v>
      </c>
      <c r="F44" s="15">
        <f t="shared" ref="F44:F49" si="2">D44*E44</f>
        <v>1081290</v>
      </c>
    </row>
    <row r="45" spans="1:6" ht="68.25" x14ac:dyDescent="0.25">
      <c r="A45" s="45"/>
      <c r="B45" s="16" t="s">
        <v>51</v>
      </c>
      <c r="C45" s="17" t="s">
        <v>19</v>
      </c>
      <c r="D45" s="14">
        <v>5</v>
      </c>
      <c r="E45" s="17">
        <v>95262.041666666657</v>
      </c>
      <c r="F45" s="15">
        <f t="shared" si="2"/>
        <v>476310.20833333326</v>
      </c>
    </row>
    <row r="46" spans="1:6" ht="22.5" x14ac:dyDescent="0.25">
      <c r="A46" s="45"/>
      <c r="B46" s="12" t="s">
        <v>52</v>
      </c>
      <c r="C46" s="17" t="s">
        <v>53</v>
      </c>
      <c r="D46" s="14">
        <v>4</v>
      </c>
      <c r="E46" s="17">
        <v>114791.66666666666</v>
      </c>
      <c r="F46" s="15">
        <f t="shared" si="2"/>
        <v>459166.66666666663</v>
      </c>
    </row>
    <row r="47" spans="1:6" ht="22.5" x14ac:dyDescent="0.25">
      <c r="A47" s="45"/>
      <c r="B47" s="12" t="s">
        <v>54</v>
      </c>
      <c r="C47" s="17" t="s">
        <v>53</v>
      </c>
      <c r="D47" s="14">
        <v>4</v>
      </c>
      <c r="E47" s="17">
        <v>60008.333333333328</v>
      </c>
      <c r="F47" s="15">
        <f t="shared" si="2"/>
        <v>240033.33333333331</v>
      </c>
    </row>
    <row r="48" spans="1:6" ht="90" x14ac:dyDescent="0.25">
      <c r="A48" s="45"/>
      <c r="B48" s="12" t="s">
        <v>55</v>
      </c>
      <c r="C48" s="17" t="s">
        <v>30</v>
      </c>
      <c r="D48" s="14">
        <v>1</v>
      </c>
      <c r="E48" s="17">
        <v>435416.66666666663</v>
      </c>
      <c r="F48" s="15">
        <f t="shared" si="2"/>
        <v>435416.66666666663</v>
      </c>
    </row>
    <row r="49" spans="1:6" ht="33.75" x14ac:dyDescent="0.25">
      <c r="A49" s="45"/>
      <c r="B49" s="12" t="s">
        <v>56</v>
      </c>
      <c r="C49" s="17" t="s">
        <v>57</v>
      </c>
      <c r="D49" s="14">
        <v>8.6</v>
      </c>
      <c r="E49" s="17">
        <v>13300</v>
      </c>
      <c r="F49" s="15">
        <f t="shared" si="2"/>
        <v>114380</v>
      </c>
    </row>
    <row r="50" spans="1:6" ht="34.5" x14ac:dyDescent="0.25">
      <c r="A50" s="43">
        <v>7</v>
      </c>
      <c r="B50" s="18" t="s">
        <v>58</v>
      </c>
      <c r="C50" s="19"/>
      <c r="D50" s="8"/>
      <c r="E50" s="19"/>
      <c r="F50" s="9">
        <f>SUM(F51:F58)</f>
        <v>3532733.3333333335</v>
      </c>
    </row>
    <row r="51" spans="1:6" ht="23.25" x14ac:dyDescent="0.25">
      <c r="A51" s="45"/>
      <c r="B51" s="16" t="s">
        <v>59</v>
      </c>
      <c r="C51" s="17" t="s">
        <v>30</v>
      </c>
      <c r="D51" s="14">
        <v>10</v>
      </c>
      <c r="E51" s="17">
        <v>17812.5</v>
      </c>
      <c r="F51" s="15">
        <f t="shared" ref="F51:F58" si="3">D51*E51</f>
        <v>178125</v>
      </c>
    </row>
    <row r="52" spans="1:6" ht="34.5" x14ac:dyDescent="0.25">
      <c r="A52" s="45"/>
      <c r="B52" s="16" t="s">
        <v>60</v>
      </c>
      <c r="C52" s="17" t="s">
        <v>30</v>
      </c>
      <c r="D52" s="14">
        <v>3</v>
      </c>
      <c r="E52" s="17">
        <v>12508.333333333332</v>
      </c>
      <c r="F52" s="15">
        <f t="shared" si="3"/>
        <v>37525</v>
      </c>
    </row>
    <row r="53" spans="1:6" x14ac:dyDescent="0.25">
      <c r="A53" s="45"/>
      <c r="B53" s="16" t="s">
        <v>61</v>
      </c>
      <c r="C53" s="17" t="s">
        <v>30</v>
      </c>
      <c r="D53" s="14">
        <v>1</v>
      </c>
      <c r="E53" s="17">
        <v>1753541.6666666665</v>
      </c>
      <c r="F53" s="15">
        <f t="shared" si="3"/>
        <v>1753541.6666666665</v>
      </c>
    </row>
    <row r="54" spans="1:6" ht="45.75" x14ac:dyDescent="0.25">
      <c r="A54" s="45"/>
      <c r="B54" s="16" t="s">
        <v>62</v>
      </c>
      <c r="C54" s="17" t="s">
        <v>4</v>
      </c>
      <c r="D54" s="14">
        <v>10</v>
      </c>
      <c r="E54" s="17">
        <v>51695.833333333328</v>
      </c>
      <c r="F54" s="15">
        <f t="shared" si="3"/>
        <v>516958.33333333326</v>
      </c>
    </row>
    <row r="55" spans="1:6" ht="22.5" x14ac:dyDescent="0.25">
      <c r="A55" s="45"/>
      <c r="B55" s="12" t="s">
        <v>63</v>
      </c>
      <c r="C55" s="17" t="s">
        <v>19</v>
      </c>
      <c r="D55" s="14">
        <v>40</v>
      </c>
      <c r="E55" s="17">
        <v>12112.5</v>
      </c>
      <c r="F55" s="15">
        <f t="shared" si="3"/>
        <v>484500</v>
      </c>
    </row>
    <row r="56" spans="1:6" ht="22.5" x14ac:dyDescent="0.25">
      <c r="A56" s="58"/>
      <c r="B56" s="35" t="s">
        <v>64</v>
      </c>
      <c r="C56" s="38" t="s">
        <v>65</v>
      </c>
      <c r="D56" s="37"/>
      <c r="E56" s="38">
        <v>385200</v>
      </c>
      <c r="F56" s="39"/>
    </row>
    <row r="57" spans="1:6" x14ac:dyDescent="0.25">
      <c r="A57" s="47"/>
      <c r="B57" s="29" t="s">
        <v>66</v>
      </c>
      <c r="C57" s="32" t="s">
        <v>4</v>
      </c>
      <c r="D57" s="31">
        <v>1</v>
      </c>
      <c r="E57" s="32">
        <v>178125</v>
      </c>
      <c r="F57" s="33">
        <f t="shared" si="3"/>
        <v>178125</v>
      </c>
    </row>
    <row r="58" spans="1:6" ht="34.5" x14ac:dyDescent="0.25">
      <c r="A58" s="45"/>
      <c r="B58" s="16" t="s">
        <v>67</v>
      </c>
      <c r="C58" s="17" t="s">
        <v>4</v>
      </c>
      <c r="D58" s="14">
        <v>1</v>
      </c>
      <c r="E58" s="17">
        <v>383958.33333333331</v>
      </c>
      <c r="F58" s="15">
        <f t="shared" si="3"/>
        <v>383958.33333333331</v>
      </c>
    </row>
    <row r="59" spans="1:6" ht="34.5" x14ac:dyDescent="0.25">
      <c r="A59" s="43">
        <v>8</v>
      </c>
      <c r="B59" s="18" t="s">
        <v>68</v>
      </c>
      <c r="C59" s="19"/>
      <c r="D59" s="8"/>
      <c r="E59" s="19">
        <v>0</v>
      </c>
      <c r="F59" s="9">
        <f>SUM(F60:F66)</f>
        <v>3148616.666666666</v>
      </c>
    </row>
    <row r="60" spans="1:6" ht="23.25" x14ac:dyDescent="0.25">
      <c r="A60" s="45"/>
      <c r="B60" s="16" t="s">
        <v>69</v>
      </c>
      <c r="C60" s="17" t="s">
        <v>4</v>
      </c>
      <c r="D60" s="14">
        <v>6</v>
      </c>
      <c r="E60" s="17">
        <v>175195.83333333331</v>
      </c>
      <c r="F60" s="15">
        <f t="shared" ref="F60:F66" si="4">D60*E60</f>
        <v>1051175</v>
      </c>
    </row>
    <row r="61" spans="1:6" x14ac:dyDescent="0.25">
      <c r="A61" s="45"/>
      <c r="B61" s="16" t="s">
        <v>70</v>
      </c>
      <c r="C61" s="17" t="s">
        <v>4</v>
      </c>
      <c r="D61" s="14">
        <v>10</v>
      </c>
      <c r="E61" s="17">
        <v>46629.166666666664</v>
      </c>
      <c r="F61" s="15">
        <f t="shared" si="4"/>
        <v>466291.66666666663</v>
      </c>
    </row>
    <row r="62" spans="1:6" x14ac:dyDescent="0.25">
      <c r="A62" s="45"/>
      <c r="B62" s="16" t="s">
        <v>71</v>
      </c>
      <c r="C62" s="17" t="s">
        <v>4</v>
      </c>
      <c r="D62" s="14">
        <v>30</v>
      </c>
      <c r="E62" s="17">
        <v>37050</v>
      </c>
      <c r="F62" s="15">
        <f t="shared" si="4"/>
        <v>1111500</v>
      </c>
    </row>
    <row r="63" spans="1:6" ht="23.25" x14ac:dyDescent="0.25">
      <c r="A63" s="45"/>
      <c r="B63" s="16" t="s">
        <v>72</v>
      </c>
      <c r="C63" s="17" t="s">
        <v>4</v>
      </c>
      <c r="D63" s="14">
        <v>3</v>
      </c>
      <c r="E63" s="17">
        <v>75841.666666666657</v>
      </c>
      <c r="F63" s="15">
        <f t="shared" si="4"/>
        <v>227524.99999999997</v>
      </c>
    </row>
    <row r="64" spans="1:6" x14ac:dyDescent="0.25">
      <c r="A64" s="45"/>
      <c r="B64" s="16" t="s">
        <v>73</v>
      </c>
      <c r="C64" s="17" t="s">
        <v>4</v>
      </c>
      <c r="D64" s="14">
        <v>1</v>
      </c>
      <c r="E64" s="17">
        <v>99591.666666666657</v>
      </c>
      <c r="F64" s="15">
        <f t="shared" si="4"/>
        <v>99591.666666666657</v>
      </c>
    </row>
    <row r="65" spans="1:6" x14ac:dyDescent="0.25">
      <c r="A65" s="45"/>
      <c r="B65" s="16" t="s">
        <v>74</v>
      </c>
      <c r="C65" s="17" t="s">
        <v>4</v>
      </c>
      <c r="D65" s="14">
        <v>2</v>
      </c>
      <c r="E65" s="17">
        <v>60008.333333333328</v>
      </c>
      <c r="F65" s="15">
        <f t="shared" si="4"/>
        <v>120016.66666666666</v>
      </c>
    </row>
    <row r="66" spans="1:6" x14ac:dyDescent="0.25">
      <c r="A66" s="45"/>
      <c r="B66" s="16" t="s">
        <v>75</v>
      </c>
      <c r="C66" s="17" t="s">
        <v>4</v>
      </c>
      <c r="D66" s="14">
        <v>2</v>
      </c>
      <c r="E66" s="17">
        <v>36258.333333333328</v>
      </c>
      <c r="F66" s="15">
        <f t="shared" si="4"/>
        <v>72516.666666666657</v>
      </c>
    </row>
    <row r="67" spans="1:6" ht="34.5" x14ac:dyDescent="0.25">
      <c r="A67" s="43">
        <v>9</v>
      </c>
      <c r="B67" s="18" t="s">
        <v>76</v>
      </c>
      <c r="C67" s="19"/>
      <c r="D67" s="8"/>
      <c r="E67" s="19">
        <v>0</v>
      </c>
      <c r="F67" s="9">
        <f>SUM(F68:F102)</f>
        <v>14382525</v>
      </c>
    </row>
    <row r="68" spans="1:6" ht="23.25" x14ac:dyDescent="0.25">
      <c r="A68" s="45"/>
      <c r="B68" s="16" t="s">
        <v>77</v>
      </c>
      <c r="C68" s="17" t="s">
        <v>78</v>
      </c>
      <c r="D68" s="14">
        <v>1</v>
      </c>
      <c r="E68" s="17">
        <v>752083.33333333326</v>
      </c>
      <c r="F68" s="15">
        <f t="shared" ref="F68:F102" si="5">D68*E68</f>
        <v>752083.33333333326</v>
      </c>
    </row>
    <row r="69" spans="1:6" ht="23.25" x14ac:dyDescent="0.25">
      <c r="A69" s="45"/>
      <c r="B69" s="16" t="s">
        <v>79</v>
      </c>
      <c r="C69" s="17" t="s">
        <v>78</v>
      </c>
      <c r="D69" s="14">
        <v>1</v>
      </c>
      <c r="E69" s="17">
        <v>1702083.3333333333</v>
      </c>
      <c r="F69" s="15">
        <f t="shared" si="5"/>
        <v>1702083.3333333333</v>
      </c>
    </row>
    <row r="70" spans="1:6" ht="34.5" x14ac:dyDescent="0.25">
      <c r="A70" s="45"/>
      <c r="B70" s="16" t="s">
        <v>80</v>
      </c>
      <c r="C70" s="17" t="s">
        <v>78</v>
      </c>
      <c r="D70" s="14">
        <v>1</v>
      </c>
      <c r="E70" s="17">
        <v>75208.333333333328</v>
      </c>
      <c r="F70" s="15">
        <f t="shared" si="5"/>
        <v>75208.333333333328</v>
      </c>
    </row>
    <row r="71" spans="1:6" ht="23.25" x14ac:dyDescent="0.25">
      <c r="A71" s="45"/>
      <c r="B71" s="16" t="s">
        <v>81</v>
      </c>
      <c r="C71" s="17" t="s">
        <v>78</v>
      </c>
      <c r="D71" s="14">
        <v>1</v>
      </c>
      <c r="E71" s="17">
        <v>672916.66666666663</v>
      </c>
      <c r="F71" s="15">
        <f t="shared" si="5"/>
        <v>672916.66666666663</v>
      </c>
    </row>
    <row r="72" spans="1:6" ht="23.25" x14ac:dyDescent="0.25">
      <c r="A72" s="45"/>
      <c r="B72" s="16" t="s">
        <v>82</v>
      </c>
      <c r="C72" s="17" t="s">
        <v>78</v>
      </c>
      <c r="D72" s="14">
        <v>1</v>
      </c>
      <c r="E72" s="17">
        <v>621458.33333333326</v>
      </c>
      <c r="F72" s="15">
        <f t="shared" si="5"/>
        <v>621458.33333333326</v>
      </c>
    </row>
    <row r="73" spans="1:6" ht="23.25" x14ac:dyDescent="0.25">
      <c r="A73" s="45"/>
      <c r="B73" s="16" t="s">
        <v>83</v>
      </c>
      <c r="C73" s="17" t="s">
        <v>78</v>
      </c>
      <c r="D73" s="14">
        <v>1</v>
      </c>
      <c r="E73" s="17">
        <v>2121666.6666666665</v>
      </c>
      <c r="F73" s="15">
        <f t="shared" si="5"/>
        <v>2121666.6666666665</v>
      </c>
    </row>
    <row r="74" spans="1:6" ht="45.75" x14ac:dyDescent="0.25">
      <c r="A74" s="45"/>
      <c r="B74" s="16" t="s">
        <v>84</v>
      </c>
      <c r="C74" s="17" t="s">
        <v>4</v>
      </c>
      <c r="D74" s="14">
        <v>11</v>
      </c>
      <c r="E74" s="17">
        <v>97216.666666666657</v>
      </c>
      <c r="F74" s="15">
        <f t="shared" si="5"/>
        <v>1069383.3333333333</v>
      </c>
    </row>
    <row r="75" spans="1:6" ht="45.75" x14ac:dyDescent="0.25">
      <c r="A75" s="45"/>
      <c r="B75" s="16" t="s">
        <v>85</v>
      </c>
      <c r="C75" s="17" t="s">
        <v>4</v>
      </c>
      <c r="D75" s="14">
        <v>10</v>
      </c>
      <c r="E75" s="17">
        <v>113050</v>
      </c>
      <c r="F75" s="15">
        <f t="shared" si="5"/>
        <v>1130500</v>
      </c>
    </row>
    <row r="76" spans="1:6" ht="45.75" x14ac:dyDescent="0.25">
      <c r="A76" s="45"/>
      <c r="B76" s="16" t="s">
        <v>86</v>
      </c>
      <c r="C76" s="17" t="s">
        <v>4</v>
      </c>
      <c r="D76" s="14">
        <v>11</v>
      </c>
      <c r="E76" s="17">
        <v>145825</v>
      </c>
      <c r="F76" s="15">
        <f t="shared" si="5"/>
        <v>1604075</v>
      </c>
    </row>
    <row r="77" spans="1:6" ht="45.75" x14ac:dyDescent="0.25">
      <c r="A77" s="45"/>
      <c r="B77" s="16" t="s">
        <v>87</v>
      </c>
      <c r="C77" s="17" t="s">
        <v>4</v>
      </c>
      <c r="D77" s="14">
        <v>1</v>
      </c>
      <c r="E77" s="17">
        <v>178758.33333333331</v>
      </c>
      <c r="F77" s="15">
        <f t="shared" si="5"/>
        <v>178758.33333333331</v>
      </c>
    </row>
    <row r="78" spans="1:6" ht="57" x14ac:dyDescent="0.25">
      <c r="A78" s="45"/>
      <c r="B78" s="16" t="s">
        <v>88</v>
      </c>
      <c r="C78" s="17" t="s">
        <v>4</v>
      </c>
      <c r="D78" s="14">
        <v>1</v>
      </c>
      <c r="E78" s="17">
        <v>218341.66666666666</v>
      </c>
      <c r="F78" s="15">
        <f t="shared" si="5"/>
        <v>218341.66666666666</v>
      </c>
    </row>
    <row r="79" spans="1:6" ht="45.75" x14ac:dyDescent="0.25">
      <c r="A79" s="45"/>
      <c r="B79" s="16" t="s">
        <v>89</v>
      </c>
      <c r="C79" s="17" t="s">
        <v>4</v>
      </c>
      <c r="D79" s="14">
        <v>3</v>
      </c>
      <c r="E79" s="17">
        <v>178758.33333333331</v>
      </c>
      <c r="F79" s="15">
        <f t="shared" si="5"/>
        <v>536275</v>
      </c>
    </row>
    <row r="80" spans="1:6" ht="23.25" x14ac:dyDescent="0.25">
      <c r="A80" s="45"/>
      <c r="B80" s="16" t="s">
        <v>90</v>
      </c>
      <c r="C80" s="17" t="s">
        <v>19</v>
      </c>
      <c r="D80" s="14">
        <v>10</v>
      </c>
      <c r="E80" s="17">
        <v>14091.666666666666</v>
      </c>
      <c r="F80" s="15">
        <f t="shared" si="5"/>
        <v>140916.66666666666</v>
      </c>
    </row>
    <row r="81" spans="1:6" ht="23.25" x14ac:dyDescent="0.25">
      <c r="A81" s="45"/>
      <c r="B81" s="16" t="s">
        <v>91</v>
      </c>
      <c r="C81" s="17" t="s">
        <v>19</v>
      </c>
      <c r="D81" s="14">
        <v>10</v>
      </c>
      <c r="E81" s="17">
        <v>19316.666666666664</v>
      </c>
      <c r="F81" s="15">
        <f t="shared" si="5"/>
        <v>193166.66666666663</v>
      </c>
    </row>
    <row r="82" spans="1:6" ht="22.5" x14ac:dyDescent="0.25">
      <c r="A82" s="45"/>
      <c r="B82" s="12" t="s">
        <v>92</v>
      </c>
      <c r="C82" s="17" t="s">
        <v>19</v>
      </c>
      <c r="D82" s="14">
        <v>10</v>
      </c>
      <c r="E82" s="17">
        <v>25254.166666666664</v>
      </c>
      <c r="F82" s="15">
        <f t="shared" si="5"/>
        <v>252541.66666666663</v>
      </c>
    </row>
    <row r="83" spans="1:6" ht="23.25" x14ac:dyDescent="0.25">
      <c r="A83" s="45"/>
      <c r="B83" s="16" t="s">
        <v>93</v>
      </c>
      <c r="C83" s="17" t="s">
        <v>19</v>
      </c>
      <c r="D83" s="14">
        <v>10</v>
      </c>
      <c r="E83" s="17">
        <v>7663.333333333333</v>
      </c>
      <c r="F83" s="15">
        <f t="shared" si="5"/>
        <v>76633.333333333328</v>
      </c>
    </row>
    <row r="84" spans="1:6" ht="23.25" x14ac:dyDescent="0.25">
      <c r="A84" s="45"/>
      <c r="B84" s="16" t="s">
        <v>94</v>
      </c>
      <c r="C84" s="17" t="s">
        <v>19</v>
      </c>
      <c r="D84" s="14">
        <v>10</v>
      </c>
      <c r="E84" s="17">
        <v>8629.1666666666661</v>
      </c>
      <c r="F84" s="15">
        <f t="shared" si="5"/>
        <v>86291.666666666657</v>
      </c>
    </row>
    <row r="85" spans="1:6" ht="23.25" x14ac:dyDescent="0.25">
      <c r="A85" s="45"/>
      <c r="B85" s="16" t="s">
        <v>95</v>
      </c>
      <c r="C85" s="17" t="s">
        <v>19</v>
      </c>
      <c r="D85" s="14">
        <v>10</v>
      </c>
      <c r="E85" s="17">
        <v>9658.3333333333321</v>
      </c>
      <c r="F85" s="15">
        <f t="shared" si="5"/>
        <v>96583.333333333314</v>
      </c>
    </row>
    <row r="86" spans="1:6" ht="34.5" x14ac:dyDescent="0.25">
      <c r="A86" s="45"/>
      <c r="B86" s="16" t="s">
        <v>96</v>
      </c>
      <c r="C86" s="17" t="s">
        <v>19</v>
      </c>
      <c r="D86" s="14">
        <v>10</v>
      </c>
      <c r="E86" s="17">
        <v>12033.333333333332</v>
      </c>
      <c r="F86" s="15">
        <f t="shared" si="5"/>
        <v>120333.33333333331</v>
      </c>
    </row>
    <row r="87" spans="1:6" ht="34.5" x14ac:dyDescent="0.25">
      <c r="A87" s="45"/>
      <c r="B87" s="16" t="s">
        <v>97</v>
      </c>
      <c r="C87" s="17" t="s">
        <v>19</v>
      </c>
      <c r="D87" s="14">
        <v>10</v>
      </c>
      <c r="E87" s="17">
        <v>16783.333333333332</v>
      </c>
      <c r="F87" s="15">
        <f t="shared" si="5"/>
        <v>167833.33333333331</v>
      </c>
    </row>
    <row r="88" spans="1:6" x14ac:dyDescent="0.25">
      <c r="A88" s="45"/>
      <c r="B88" s="16" t="s">
        <v>98</v>
      </c>
      <c r="C88" s="17" t="s">
        <v>4</v>
      </c>
      <c r="D88" s="59">
        <v>26</v>
      </c>
      <c r="E88" s="17">
        <v>15754.166666666666</v>
      </c>
      <c r="F88" s="15">
        <f t="shared" si="5"/>
        <v>409608.33333333331</v>
      </c>
    </row>
    <row r="89" spans="1:6" x14ac:dyDescent="0.25">
      <c r="A89" s="45"/>
      <c r="B89" s="16" t="s">
        <v>99</v>
      </c>
      <c r="C89" s="17" t="s">
        <v>4</v>
      </c>
      <c r="D89" s="59">
        <v>2</v>
      </c>
      <c r="E89" s="17">
        <v>76633.333333333328</v>
      </c>
      <c r="F89" s="15">
        <f t="shared" si="5"/>
        <v>153266.66666666666</v>
      </c>
    </row>
    <row r="90" spans="1:6" x14ac:dyDescent="0.25">
      <c r="A90" s="45"/>
      <c r="B90" s="16" t="s">
        <v>100</v>
      </c>
      <c r="C90" s="17" t="s">
        <v>4</v>
      </c>
      <c r="D90" s="59">
        <v>2</v>
      </c>
      <c r="E90" s="17">
        <v>87083.333333333328</v>
      </c>
      <c r="F90" s="15">
        <f t="shared" si="5"/>
        <v>174166.66666666666</v>
      </c>
    </row>
    <row r="91" spans="1:6" x14ac:dyDescent="0.25">
      <c r="A91" s="45"/>
      <c r="B91" s="16" t="s">
        <v>101</v>
      </c>
      <c r="C91" s="17" t="s">
        <v>4</v>
      </c>
      <c r="D91" s="59">
        <v>2</v>
      </c>
      <c r="E91" s="17">
        <v>161341.66666666666</v>
      </c>
      <c r="F91" s="15">
        <f t="shared" si="5"/>
        <v>322683.33333333331</v>
      </c>
    </row>
    <row r="92" spans="1:6" x14ac:dyDescent="0.25">
      <c r="A92" s="45"/>
      <c r="B92" s="16" t="s">
        <v>102</v>
      </c>
      <c r="C92" s="17" t="s">
        <v>4</v>
      </c>
      <c r="D92" s="14">
        <v>22</v>
      </c>
      <c r="E92" s="17">
        <v>10133.333333333332</v>
      </c>
      <c r="F92" s="15">
        <f t="shared" si="5"/>
        <v>222933.33333333331</v>
      </c>
    </row>
    <row r="93" spans="1:6" ht="23.25" x14ac:dyDescent="0.25">
      <c r="A93" s="45"/>
      <c r="B93" s="16" t="s">
        <v>103</v>
      </c>
      <c r="C93" s="17" t="s">
        <v>4</v>
      </c>
      <c r="D93" s="14">
        <v>4</v>
      </c>
      <c r="E93" s="17">
        <v>75841.666666666657</v>
      </c>
      <c r="F93" s="15">
        <f t="shared" si="5"/>
        <v>303366.66666666663</v>
      </c>
    </row>
    <row r="94" spans="1:6" ht="23.25" x14ac:dyDescent="0.25">
      <c r="A94" s="45"/>
      <c r="B94" s="16" t="s">
        <v>104</v>
      </c>
      <c r="C94" s="17" t="s">
        <v>4</v>
      </c>
      <c r="D94" s="14">
        <v>4</v>
      </c>
      <c r="E94" s="17">
        <v>77425</v>
      </c>
      <c r="F94" s="15">
        <f t="shared" si="5"/>
        <v>309700</v>
      </c>
    </row>
    <row r="95" spans="1:6" ht="23.25" x14ac:dyDescent="0.25">
      <c r="A95" s="45"/>
      <c r="B95" s="16" t="s">
        <v>105</v>
      </c>
      <c r="C95" s="17" t="s">
        <v>4</v>
      </c>
      <c r="D95" s="14">
        <v>3</v>
      </c>
      <c r="E95" s="17">
        <v>67925</v>
      </c>
      <c r="F95" s="15">
        <f t="shared" si="5"/>
        <v>203775</v>
      </c>
    </row>
    <row r="96" spans="1:6" ht="34.5" x14ac:dyDescent="0.25">
      <c r="A96" s="45"/>
      <c r="B96" s="16" t="s">
        <v>106</v>
      </c>
      <c r="C96" s="17" t="s">
        <v>4</v>
      </c>
      <c r="D96" s="14">
        <v>1</v>
      </c>
      <c r="E96" s="17">
        <v>277083.33333333331</v>
      </c>
      <c r="F96" s="15">
        <f t="shared" si="5"/>
        <v>277083.33333333331</v>
      </c>
    </row>
    <row r="97" spans="1:6" ht="45.75" x14ac:dyDescent="0.25">
      <c r="A97" s="45"/>
      <c r="B97" s="16" t="s">
        <v>107</v>
      </c>
      <c r="C97" s="17" t="s">
        <v>4</v>
      </c>
      <c r="D97" s="14">
        <v>1</v>
      </c>
      <c r="E97" s="17">
        <v>91675</v>
      </c>
      <c r="F97" s="15">
        <f t="shared" si="5"/>
        <v>91675</v>
      </c>
    </row>
    <row r="98" spans="1:6" x14ac:dyDescent="0.25">
      <c r="A98" s="58"/>
      <c r="B98" s="60" t="s">
        <v>108</v>
      </c>
      <c r="C98" s="38" t="s">
        <v>27</v>
      </c>
      <c r="D98" s="37"/>
      <c r="E98" s="38">
        <v>18550</v>
      </c>
      <c r="F98" s="39"/>
    </row>
    <row r="99" spans="1:6" ht="23.25" x14ac:dyDescent="0.25">
      <c r="A99" s="58"/>
      <c r="B99" s="60" t="s">
        <v>109</v>
      </c>
      <c r="C99" s="38" t="s">
        <v>30</v>
      </c>
      <c r="D99" s="37"/>
      <c r="E99" s="38">
        <v>125200</v>
      </c>
      <c r="F99" s="39"/>
    </row>
    <row r="100" spans="1:6" x14ac:dyDescent="0.25">
      <c r="A100" s="58"/>
      <c r="B100" s="60" t="s">
        <v>110</v>
      </c>
      <c r="C100" s="38" t="s">
        <v>111</v>
      </c>
      <c r="D100" s="37"/>
      <c r="E100" s="38">
        <f>(16000*4+5800*4*14+12000*14+9000*12)*1.2</f>
        <v>797760</v>
      </c>
      <c r="F100" s="39"/>
    </row>
    <row r="101" spans="1:6" x14ac:dyDescent="0.25">
      <c r="A101" s="58"/>
      <c r="B101" s="60" t="s">
        <v>112</v>
      </c>
      <c r="C101" s="38" t="s">
        <v>111</v>
      </c>
      <c r="D101" s="37"/>
      <c r="E101" s="38">
        <v>185000</v>
      </c>
      <c r="F101" s="39"/>
    </row>
    <row r="102" spans="1:6" ht="34.5" x14ac:dyDescent="0.25">
      <c r="A102" s="45"/>
      <c r="B102" s="16" t="s">
        <v>113</v>
      </c>
      <c r="C102" s="17" t="s">
        <v>4</v>
      </c>
      <c r="D102" s="14">
        <v>1</v>
      </c>
      <c r="E102" s="17">
        <v>97216.666666666657</v>
      </c>
      <c r="F102" s="15">
        <f t="shared" si="5"/>
        <v>97216.666666666657</v>
      </c>
    </row>
    <row r="103" spans="1:6" ht="78.75" x14ac:dyDescent="0.25">
      <c r="A103" s="43">
        <v>10</v>
      </c>
      <c r="B103" s="61" t="s">
        <v>114</v>
      </c>
      <c r="C103" s="19"/>
      <c r="D103" s="8"/>
      <c r="E103" s="19"/>
      <c r="F103" s="9">
        <f>SUM(F104:F113)</f>
        <v>3499879.166666666</v>
      </c>
    </row>
    <row r="104" spans="1:6" ht="34.5" x14ac:dyDescent="0.25">
      <c r="A104" s="45"/>
      <c r="B104" s="16" t="s">
        <v>115</v>
      </c>
      <c r="C104" s="17" t="s">
        <v>30</v>
      </c>
      <c r="D104" s="14">
        <v>11</v>
      </c>
      <c r="E104" s="17">
        <v>101887.5</v>
      </c>
      <c r="F104" s="15">
        <f t="shared" ref="F104:F113" si="6">D104*E104</f>
        <v>1120762.5</v>
      </c>
    </row>
    <row r="105" spans="1:6" ht="57" x14ac:dyDescent="0.25">
      <c r="A105" s="45"/>
      <c r="B105" s="16" t="s">
        <v>116</v>
      </c>
      <c r="C105" s="17" t="s">
        <v>30</v>
      </c>
      <c r="D105" s="14">
        <v>6</v>
      </c>
      <c r="E105" s="17">
        <v>101887.5</v>
      </c>
      <c r="F105" s="15">
        <f t="shared" si="6"/>
        <v>611325</v>
      </c>
    </row>
    <row r="106" spans="1:6" ht="23.25" x14ac:dyDescent="0.25">
      <c r="A106" s="45"/>
      <c r="B106" s="16" t="s">
        <v>117</v>
      </c>
      <c r="C106" s="17" t="s">
        <v>30</v>
      </c>
      <c r="D106" s="14">
        <v>1</v>
      </c>
      <c r="E106" s="17">
        <v>83125</v>
      </c>
      <c r="F106" s="15">
        <f t="shared" si="6"/>
        <v>83125</v>
      </c>
    </row>
    <row r="107" spans="1:6" ht="34.5" x14ac:dyDescent="0.25">
      <c r="A107" s="45"/>
      <c r="B107" s="16" t="s">
        <v>118</v>
      </c>
      <c r="C107" s="17" t="s">
        <v>30</v>
      </c>
      <c r="D107" s="14">
        <v>1</v>
      </c>
      <c r="E107" s="17">
        <v>193958.33333333331</v>
      </c>
      <c r="F107" s="15">
        <f t="shared" si="6"/>
        <v>193958.33333333331</v>
      </c>
    </row>
    <row r="108" spans="1:6" ht="23.25" x14ac:dyDescent="0.25">
      <c r="A108" s="45"/>
      <c r="B108" s="16" t="s">
        <v>119</v>
      </c>
      <c r="C108" s="17" t="s">
        <v>30</v>
      </c>
      <c r="D108" s="14">
        <v>1</v>
      </c>
      <c r="E108" s="17">
        <v>299250</v>
      </c>
      <c r="F108" s="15">
        <f t="shared" si="6"/>
        <v>299250</v>
      </c>
    </row>
    <row r="109" spans="1:6" ht="23.25" x14ac:dyDescent="0.25">
      <c r="A109" s="45"/>
      <c r="B109" s="16" t="s">
        <v>120</v>
      </c>
      <c r="C109" s="17" t="s">
        <v>30</v>
      </c>
      <c r="D109" s="14">
        <v>3</v>
      </c>
      <c r="E109" s="17">
        <v>19791.666666666664</v>
      </c>
      <c r="F109" s="15">
        <f t="shared" si="6"/>
        <v>59374.999999999993</v>
      </c>
    </row>
    <row r="110" spans="1:6" ht="23.25" x14ac:dyDescent="0.25">
      <c r="A110" s="45"/>
      <c r="B110" s="16" t="s">
        <v>121</v>
      </c>
      <c r="C110" s="17" t="s">
        <v>30</v>
      </c>
      <c r="D110" s="14">
        <v>4</v>
      </c>
      <c r="E110" s="17">
        <v>19791.666666666664</v>
      </c>
      <c r="F110" s="15">
        <f t="shared" si="6"/>
        <v>79166.666666666657</v>
      </c>
    </row>
    <row r="111" spans="1:6" x14ac:dyDescent="0.25">
      <c r="A111" s="45"/>
      <c r="B111" s="16" t="s">
        <v>122</v>
      </c>
      <c r="C111" s="17" t="s">
        <v>30</v>
      </c>
      <c r="D111" s="14">
        <v>22</v>
      </c>
      <c r="E111" s="17">
        <v>43541.666666666664</v>
      </c>
      <c r="F111" s="15">
        <f t="shared" si="6"/>
        <v>957916.66666666663</v>
      </c>
    </row>
    <row r="112" spans="1:6" ht="23.25" x14ac:dyDescent="0.25">
      <c r="A112" s="45"/>
      <c r="B112" s="16" t="s">
        <v>123</v>
      </c>
      <c r="C112" s="17" t="s">
        <v>30</v>
      </c>
      <c r="D112" s="14">
        <v>1</v>
      </c>
      <c r="E112" s="17">
        <v>67291.666666666657</v>
      </c>
      <c r="F112" s="15">
        <f t="shared" si="6"/>
        <v>67291.666666666657</v>
      </c>
    </row>
    <row r="113" spans="1:6" ht="23.25" x14ac:dyDescent="0.25">
      <c r="A113" s="45"/>
      <c r="B113" s="16" t="s">
        <v>124</v>
      </c>
      <c r="C113" s="17" t="s">
        <v>30</v>
      </c>
      <c r="D113" s="14">
        <v>1</v>
      </c>
      <c r="E113" s="17">
        <v>27708.333333333332</v>
      </c>
      <c r="F113" s="15">
        <f t="shared" si="6"/>
        <v>27708.333333333332</v>
      </c>
    </row>
    <row r="114" spans="1:6" x14ac:dyDescent="0.25">
      <c r="A114" s="43">
        <v>11</v>
      </c>
      <c r="B114" s="18" t="s">
        <v>125</v>
      </c>
      <c r="C114" s="19"/>
      <c r="D114" s="8"/>
      <c r="E114" s="19">
        <v>0</v>
      </c>
      <c r="F114" s="9">
        <f>SUM(F115:F120)</f>
        <v>4500625</v>
      </c>
    </row>
    <row r="115" spans="1:6" ht="23.25" x14ac:dyDescent="0.25">
      <c r="A115" s="45"/>
      <c r="B115" s="16" t="s">
        <v>126</v>
      </c>
      <c r="C115" s="17" t="s">
        <v>30</v>
      </c>
      <c r="D115" s="14">
        <v>10</v>
      </c>
      <c r="E115" s="17">
        <v>77583.333333333328</v>
      </c>
      <c r="F115" s="15">
        <f t="shared" ref="F115:F119" si="7">D115*E115</f>
        <v>775833.33333333326</v>
      </c>
    </row>
    <row r="116" spans="1:6" ht="34.5" x14ac:dyDescent="0.25">
      <c r="A116" s="45"/>
      <c r="B116" s="16" t="s">
        <v>127</v>
      </c>
      <c r="C116" s="17" t="s">
        <v>30</v>
      </c>
      <c r="D116" s="14">
        <v>3</v>
      </c>
      <c r="E116" s="17">
        <v>83125</v>
      </c>
      <c r="F116" s="15">
        <f t="shared" si="7"/>
        <v>249375</v>
      </c>
    </row>
    <row r="117" spans="1:6" ht="23.25" x14ac:dyDescent="0.25">
      <c r="A117" s="45"/>
      <c r="B117" s="16" t="s">
        <v>128</v>
      </c>
      <c r="C117" s="17" t="s">
        <v>19</v>
      </c>
      <c r="D117" s="14">
        <v>10</v>
      </c>
      <c r="E117" s="17">
        <v>6729.1666666666661</v>
      </c>
      <c r="F117" s="15">
        <f t="shared" si="7"/>
        <v>67291.666666666657</v>
      </c>
    </row>
    <row r="118" spans="1:6" ht="23.25" x14ac:dyDescent="0.25">
      <c r="A118" s="45"/>
      <c r="B118" s="16" t="s">
        <v>129</v>
      </c>
      <c r="C118" s="17" t="s">
        <v>30</v>
      </c>
      <c r="D118" s="14">
        <v>7</v>
      </c>
      <c r="E118" s="17">
        <v>391875</v>
      </c>
      <c r="F118" s="15">
        <f t="shared" si="7"/>
        <v>2743125</v>
      </c>
    </row>
    <row r="119" spans="1:6" ht="23.25" x14ac:dyDescent="0.25">
      <c r="A119" s="47"/>
      <c r="B119" s="40" t="s">
        <v>130</v>
      </c>
      <c r="C119" s="32" t="s">
        <v>30</v>
      </c>
      <c r="D119" s="31">
        <v>4</v>
      </c>
      <c r="E119" s="32">
        <v>83125</v>
      </c>
      <c r="F119" s="33">
        <f t="shared" si="7"/>
        <v>332500</v>
      </c>
    </row>
    <row r="120" spans="1:6" ht="23.25" x14ac:dyDescent="0.25">
      <c r="A120" s="47"/>
      <c r="B120" s="40" t="s">
        <v>131</v>
      </c>
      <c r="C120" s="32" t="s">
        <v>30</v>
      </c>
      <c r="D120" s="31">
        <v>4</v>
      </c>
      <c r="E120" s="32">
        <v>83125</v>
      </c>
      <c r="F120" s="33">
        <f>D120*E120</f>
        <v>332500</v>
      </c>
    </row>
    <row r="121" spans="1:6" ht="45.75" x14ac:dyDescent="0.25">
      <c r="A121" s="43">
        <v>12</v>
      </c>
      <c r="B121" s="18" t="s">
        <v>132</v>
      </c>
      <c r="C121" s="19"/>
      <c r="D121" s="8"/>
      <c r="E121" s="19">
        <v>0</v>
      </c>
      <c r="F121" s="9">
        <f>SUM(F122:F125)</f>
        <v>1435054.1666666667</v>
      </c>
    </row>
    <row r="122" spans="1:6" ht="23.25" x14ac:dyDescent="0.25">
      <c r="A122" s="45"/>
      <c r="B122" s="16" t="s">
        <v>133</v>
      </c>
      <c r="C122" s="17" t="s">
        <v>30</v>
      </c>
      <c r="D122" s="14">
        <v>1</v>
      </c>
      <c r="E122" s="17">
        <v>60008.333333333328</v>
      </c>
      <c r="F122" s="15">
        <f>D122*E122</f>
        <v>60008.333333333328</v>
      </c>
    </row>
    <row r="123" spans="1:6" ht="33.75" x14ac:dyDescent="0.25">
      <c r="A123" s="45"/>
      <c r="B123" s="12" t="s">
        <v>134</v>
      </c>
      <c r="C123" s="13" t="s">
        <v>22</v>
      </c>
      <c r="D123" s="14">
        <v>1</v>
      </c>
      <c r="E123" s="17">
        <v>77583.333333333328</v>
      </c>
      <c r="F123" s="15">
        <f>D123*E123</f>
        <v>77583.333333333328</v>
      </c>
    </row>
    <row r="124" spans="1:6" ht="45" x14ac:dyDescent="0.25">
      <c r="A124" s="45"/>
      <c r="B124" s="12" t="s">
        <v>135</v>
      </c>
      <c r="C124" s="13" t="s">
        <v>22</v>
      </c>
      <c r="D124" s="14">
        <v>2</v>
      </c>
      <c r="E124" s="17">
        <v>629375</v>
      </c>
      <c r="F124" s="15">
        <f>D124*E124</f>
        <v>1258750</v>
      </c>
    </row>
    <row r="125" spans="1:6" x14ac:dyDescent="0.25">
      <c r="A125" s="45"/>
      <c r="B125" s="16" t="s">
        <v>136</v>
      </c>
      <c r="C125" s="17" t="s">
        <v>30</v>
      </c>
      <c r="D125" s="14">
        <v>1</v>
      </c>
      <c r="E125" s="17">
        <v>38712.5</v>
      </c>
      <c r="F125" s="15">
        <f>D125*E125</f>
        <v>38712.5</v>
      </c>
    </row>
    <row r="126" spans="1:6" ht="23.25" x14ac:dyDescent="0.25">
      <c r="A126" s="43">
        <v>13</v>
      </c>
      <c r="B126" s="18" t="s">
        <v>137</v>
      </c>
      <c r="C126" s="19"/>
      <c r="D126" s="8"/>
      <c r="E126" s="19">
        <v>0</v>
      </c>
      <c r="F126" s="9">
        <f>SUM(F127)</f>
        <v>1852500</v>
      </c>
    </row>
    <row r="127" spans="1:6" ht="34.5" x14ac:dyDescent="0.25">
      <c r="A127" s="45"/>
      <c r="B127" s="16" t="s">
        <v>138</v>
      </c>
      <c r="C127" s="17" t="s">
        <v>30</v>
      </c>
      <c r="D127" s="14">
        <v>4</v>
      </c>
      <c r="E127" s="17">
        <v>463125</v>
      </c>
      <c r="F127" s="15">
        <f>D127*E127</f>
        <v>1852500</v>
      </c>
    </row>
    <row r="128" spans="1:6" x14ac:dyDescent="0.25">
      <c r="A128" s="62">
        <v>14</v>
      </c>
      <c r="B128" s="18" t="s">
        <v>139</v>
      </c>
      <c r="C128" s="19"/>
      <c r="D128" s="8"/>
      <c r="E128" s="19">
        <v>0</v>
      </c>
      <c r="F128" s="9">
        <f>SUM(F129:F131)</f>
        <v>1713958.333333333</v>
      </c>
    </row>
    <row r="129" spans="1:6" ht="56.25" x14ac:dyDescent="0.25">
      <c r="A129" s="11"/>
      <c r="B129" s="12" t="s">
        <v>140</v>
      </c>
      <c r="C129" s="13" t="s">
        <v>141</v>
      </c>
      <c r="D129" s="14">
        <v>5</v>
      </c>
      <c r="E129" s="17">
        <v>130625</v>
      </c>
      <c r="F129" s="15">
        <f>D129*E129</f>
        <v>653125</v>
      </c>
    </row>
    <row r="130" spans="1:6" ht="23.25" x14ac:dyDescent="0.25">
      <c r="A130" s="11"/>
      <c r="B130" s="16" t="s">
        <v>142</v>
      </c>
      <c r="C130" s="17" t="s">
        <v>143</v>
      </c>
      <c r="D130" s="14">
        <v>4</v>
      </c>
      <c r="E130" s="17">
        <v>114791.66666666666</v>
      </c>
      <c r="F130" s="15">
        <f>D130*E130</f>
        <v>459166.66666666663</v>
      </c>
    </row>
    <row r="131" spans="1:6" ht="23.25" x14ac:dyDescent="0.25">
      <c r="A131" s="11"/>
      <c r="B131" s="16" t="s">
        <v>144</v>
      </c>
      <c r="C131" s="17" t="s">
        <v>143</v>
      </c>
      <c r="D131" s="14">
        <v>2</v>
      </c>
      <c r="E131" s="17">
        <v>300833.33333333331</v>
      </c>
      <c r="F131" s="15">
        <f>D131*E131</f>
        <v>601666.66666666663</v>
      </c>
    </row>
    <row r="132" spans="1:6" x14ac:dyDescent="0.25">
      <c r="A132" s="63">
        <v>15</v>
      </c>
      <c r="B132" s="18" t="s">
        <v>145</v>
      </c>
      <c r="C132" s="19"/>
      <c r="D132" s="8"/>
      <c r="E132" s="19">
        <v>0</v>
      </c>
      <c r="F132" s="9">
        <f>SUM(F133:F134)</f>
        <v>1171666.6666666665</v>
      </c>
    </row>
    <row r="133" spans="1:6" ht="23.25" x14ac:dyDescent="0.25">
      <c r="A133" s="11"/>
      <c r="B133" s="16" t="s">
        <v>146</v>
      </c>
      <c r="C133" s="17" t="s">
        <v>147</v>
      </c>
      <c r="D133" s="14">
        <v>4</v>
      </c>
      <c r="E133" s="17">
        <v>209791.66666666666</v>
      </c>
      <c r="F133" s="15">
        <f>D133*E133</f>
        <v>839166.66666666663</v>
      </c>
    </row>
    <row r="134" spans="1:6" ht="23.25" x14ac:dyDescent="0.25">
      <c r="A134" s="11"/>
      <c r="B134" s="16" t="s">
        <v>148</v>
      </c>
      <c r="C134" s="17" t="s">
        <v>147</v>
      </c>
      <c r="D134" s="14">
        <v>4</v>
      </c>
      <c r="E134" s="17">
        <v>83125</v>
      </c>
      <c r="F134" s="15">
        <f>D134*E134</f>
        <v>332500</v>
      </c>
    </row>
    <row r="135" spans="1:6" x14ac:dyDescent="0.25">
      <c r="A135" s="63">
        <v>16</v>
      </c>
      <c r="B135" s="18" t="s">
        <v>149</v>
      </c>
      <c r="C135" s="19"/>
      <c r="D135" s="8"/>
      <c r="E135" s="19">
        <v>0</v>
      </c>
      <c r="F135" s="9">
        <f>SUM(F136)</f>
        <v>374062.5</v>
      </c>
    </row>
    <row r="136" spans="1:6" ht="23.25" x14ac:dyDescent="0.25">
      <c r="A136" s="11"/>
      <c r="B136" s="16" t="s">
        <v>150</v>
      </c>
      <c r="C136" s="17" t="s">
        <v>19</v>
      </c>
      <c r="D136" s="14">
        <v>4.5</v>
      </c>
      <c r="E136" s="17">
        <v>83125</v>
      </c>
      <c r="F136" s="15">
        <f>D136*E136</f>
        <v>374062.5</v>
      </c>
    </row>
    <row r="137" spans="1:6" ht="34.5" x14ac:dyDescent="0.25">
      <c r="A137" s="11"/>
      <c r="B137" s="16" t="s">
        <v>151</v>
      </c>
      <c r="C137" s="17" t="s">
        <v>152</v>
      </c>
      <c r="D137" s="14">
        <v>1</v>
      </c>
      <c r="E137" s="17">
        <v>1806187.5</v>
      </c>
      <c r="F137" s="15">
        <f>D137*E137</f>
        <v>1806187.5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2026-06-04T01:43:26Z</dcterms:created>
  <dcterms:modified xsi:type="dcterms:W3CDTF">2026-06-04T01:51:31Z</dcterms:modified>
</cp:coreProperties>
</file>