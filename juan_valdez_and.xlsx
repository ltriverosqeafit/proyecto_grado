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Tesis\"/>
    </mc:Choice>
  </mc:AlternateContent>
  <xr:revisionPtr revIDLastSave="0" documentId="13_ncr:1_{CFAE8232-00F9-453A-BC2D-258FC1942DE1}" xr6:coauthVersionLast="47" xr6:coauthVersionMax="47" xr10:uidLastSave="{00000000-0000-0000-0000-000000000000}"/>
  <bookViews>
    <workbookView xWindow="-120" yWindow="-120" windowWidth="29040" windowHeight="15720" xr2:uid="{E52C81C9-027B-4C2E-B298-9BCAA89DE3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39" i="1" l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2" i="1"/>
  <c r="F11" i="1"/>
  <c r="F10" i="1"/>
  <c r="F9" i="1"/>
  <c r="F8" i="1"/>
  <c r="F7" i="1"/>
  <c r="F6" i="1"/>
  <c r="F5" i="1"/>
  <c r="F4" i="1"/>
  <c r="F3" i="1"/>
  <c r="F2" i="1"/>
  <c r="F66" i="1" l="1"/>
  <c r="F41" i="1"/>
  <c r="F27" i="1"/>
  <c r="F13" i="1"/>
  <c r="F10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6772CA06-7985-4737-AF4F-402C983FEE45}">
      <text>
        <r>
          <rPr>
            <sz val="11"/>
            <color theme="1"/>
            <rFont val="Aptos Narrow"/>
            <family val="2"/>
            <scheme val="minor"/>
          </rPr>
          <t>======
ID#AAAA6spMLhw
Erik Durfay Ricaurte Castillo    (2023-09-25 20:41:48)
Unidad de medida del item a contratar</t>
        </r>
      </text>
    </comment>
  </commentList>
</comments>
</file>

<file path=xl/sharedStrings.xml><?xml version="1.0" encoding="utf-8"?>
<sst xmlns="http://schemas.openxmlformats.org/spreadsheetml/2006/main" count="271" uniqueCount="146">
  <si>
    <t xml:space="preserve">PRELIMINARES </t>
  </si>
  <si>
    <t>Localizacion y replanteo (incluye local y bodega)</t>
  </si>
  <si>
    <t>m2</t>
  </si>
  <si>
    <t xml:space="preserve">Realización de saca núcleos en placa de concreto de hasta 30cm para instalación de redes. </t>
  </si>
  <si>
    <t>und</t>
  </si>
  <si>
    <t>DESMONTES Y DESCONEXIONES</t>
  </si>
  <si>
    <t>Desconexión de puntos eléctricos (salidas electricas, tomas, puntos de voz/datos, cctv e iluminación)</t>
  </si>
  <si>
    <t>Desconexión de puntos hidraúlicos (incluye retiro de tubería y tapón de salidas)</t>
  </si>
  <si>
    <t>Desconexión de puntos sanitarios (incluye retiro de tubería y tapón de salidas)</t>
  </si>
  <si>
    <t>Desmolicion de muros en drywall/superboard (incluye enlonado y trasciego a punto de acopio)</t>
  </si>
  <si>
    <t>Desmonte de puertas en madera</t>
  </si>
  <si>
    <t>Desmonte de cieloraso existente (drywall, modulado fibra mineral)</t>
  </si>
  <si>
    <t>Desmonte de tablero eléctrico existente</t>
  </si>
  <si>
    <t>PISOS Y PAREDES</t>
  </si>
  <si>
    <t xml:space="preserve">Suministro e instalación de plataforma piso para modulo de operaciones, en estructura metalica, con refuerzos internos para división de red hidrosanitaria e instalación de barra de operaciones, incluye estructura terminada y soldada, hermeticidad, sopresiso en lamina de superboard en 20mm asegurada y ajustada. Altura según planimetria </t>
  </si>
  <si>
    <t>Regata en piso y pared para conexiones hidrosanitarias, electricas, voz y datos (incluye demolición, corte, resane y nivelacion)</t>
  </si>
  <si>
    <t>ml</t>
  </si>
  <si>
    <t xml:space="preserve">Afinado de piso </t>
  </si>
  <si>
    <t xml:space="preserve">Suministro e instalación de poyo para zona de poceta lava traperos y rack (incluye pañete, afinado de piso y altura según diseño) </t>
  </si>
  <si>
    <t xml:space="preserve">Suministro e instalación de enchape de pared porcelanato ref. Mosaico Blanco Hexa Ditrict marca Decorceramica incluye boquilla, limpieza y sellado </t>
  </si>
  <si>
    <t xml:space="preserve">Suministro e instalación de enchape de piso Porcelanato ChateauWhite 120x60cm mate marca Attmosferas terminado incluye cortes, boquilla epoxica, limpieza y sellado </t>
  </si>
  <si>
    <t>Suministro e instalación de guardaescoba en mediacaña fundida en sitio con radio de 5cm  (incluye pulida, sellado y acabado en pintura epóxica blanca)</t>
  </si>
  <si>
    <t>Suministro e instalación de guardaescoba en mediacaña en resina con radio de 5cm  (incluye pulida, sellado y acabado en pintura epóxica blanca)</t>
  </si>
  <si>
    <t>Suministro e instalación de enchape de pared blanco 20cm X 20cm (incluye cortes, desperdicio, pegante, dilataciones, boquilla, limpieza y sellado)</t>
  </si>
  <si>
    <t>Suministro e instalación de Piedra sinterizada de pared y techo tipo Belvedere Black Mate marca Gramar  (incluye cortes, desperdicio, pegante, dilataciones, limpieza y sellado)</t>
  </si>
  <si>
    <t>Suministro e instalación de Lamina alta presion de pared tipo industrial Concreto referencia 3127 marca Formica  (incluye cortes, desperdicio, pegante, dilataciones, limpieza y sellado)</t>
  </si>
  <si>
    <t xml:space="preserve">MUROS DRYWALL / SUPERBOARD </t>
  </si>
  <si>
    <t>Suministro e instalación de refuerzo en madera de espesor 4cm y ancho hasta 30cm para instalación de equipos, muebles, lámparas, fachada, etc</t>
  </si>
  <si>
    <t>Suministro e instalacion de muro en mamposteria (incluye acabado en pañete liso y tres manos en pintura acryltex blanca )</t>
  </si>
  <si>
    <t>Suministro e instalación de muro una cara en superboard 8mm (incluye estructura y acabado a tres manos en pintura acryltex blanca)</t>
  </si>
  <si>
    <t>Suministro e instalación de muro doble cara en superboard 8mm (incluye estructura y acabado a tres manos en pintura acryltex blanca)</t>
  </si>
  <si>
    <t>Suministro e instalación de lineal una cara en superboard 8mm (incluye estructura, refuerzo en madera para puerta y acabado a tres manos en pintura acryltex blanca)</t>
  </si>
  <si>
    <t>Suministro e instalación de dintel doble cara en superboard 8mm (incluye estructura y acabado a tres manos en pintura acryltex blanca)</t>
  </si>
  <si>
    <t>Estuco (incluye lijada y acabado a una mano de pintura blanca tipo 2 )</t>
  </si>
  <si>
    <t>Suministro y aplicación de pintura en muros a 3 manos (acabado texturizado o liso según se requiera color referencia pintura acryltex blanca)</t>
  </si>
  <si>
    <t>CIELORASO</t>
  </si>
  <si>
    <t>Suministro e instalación de cieloraso en drywall (incluye estructura y pintura a 3 manos acabado texturizado o liso según se requiera color referencia  Wax Yellow 2015P de Sapolín)</t>
  </si>
  <si>
    <t xml:space="preserve">Suministro e instalación de tapas de inspección (60x60) incluye marco en aluminio  </t>
  </si>
  <si>
    <t xml:space="preserve">Suministro e instalación de tapas de inspección (30x30) incluye marco en aluminio  </t>
  </si>
  <si>
    <t>Suministro e instalación extractor de olores de 14" industrial (incluye cableado, tubería, interruptor y angeo)</t>
  </si>
  <si>
    <t>REDES HIDROSANITARIAS</t>
  </si>
  <si>
    <t>Tuberia pvc presion rde-9 ø1/2"  marca pavco o gerfor</t>
  </si>
  <si>
    <t>Accesorio  ø1/2" marca pavco o gerfor</t>
  </si>
  <si>
    <t>Registro de ø1/2" roscado</t>
  </si>
  <si>
    <t>Racor de 1/2" npt hembra X 3/8" npt macho</t>
  </si>
  <si>
    <t>Punto h -  a.f.  pvc-p gerfor o pavco 1/2"</t>
  </si>
  <si>
    <t>s.s. pvc sanitaria gerfor o pavco  ø2"</t>
  </si>
  <si>
    <t xml:space="preserve">s.s. sifon de 2" </t>
  </si>
  <si>
    <t>Tuberia pvc sanitaria ø3" pavco o gerfor</t>
  </si>
  <si>
    <t>Tuberia pvc sanitaria ø2" pavco o gerfor</t>
  </si>
  <si>
    <t>Accesorio  ø3" pavco o gerfor</t>
  </si>
  <si>
    <t>Accesorio  ø2" pavco o gerfor</t>
  </si>
  <si>
    <t>Suministro e instalación de caja lavadora (incluye sellado de orificios que no se vayan a usar, bujes en caucho para garantizar hermeticidad y reducciones en pvc según mangueras de equipos)</t>
  </si>
  <si>
    <t>Suministro e instalación de tapa registro 15x15 (incluye sticker fumigación y hermeticidad con sika en laterales)</t>
  </si>
  <si>
    <t>Suministro e instalación de tapon decorativo grival (incluye hermeticidad con sika en laterales)</t>
  </si>
  <si>
    <t>Suministro e instalación de rejilla anticucharacha 3x2" en piso marca grival</t>
  </si>
  <si>
    <t>Suministro e instalación de llave jardín 1/2" galvanizada marca grival (incluye acoples, terminales, pegante y demas accesorios requeridos para correcta instalacion)</t>
  </si>
  <si>
    <t>Suministro e instalacion de llave de agua filtrada  (incluye acoples, terminales, pegante y demas accesorios requeridos para correcta instalacion)</t>
  </si>
  <si>
    <t>Suministro e instalacion de llave sensor para lavaplatos  (incluye acoples, terminales, pegante y demas accesorios requeridos para correcta instalacion)</t>
  </si>
  <si>
    <t>Instalacion de coldrink triple (incluye acoples, pegante, mangueras y demás accesorios requeridos para correcta instalación)</t>
  </si>
  <si>
    <t xml:space="preserve">Suministro e instalación cuelgatraperos para poceta </t>
  </si>
  <si>
    <t>REDES ELECTRICAS</t>
  </si>
  <si>
    <t>Salida para lámpara lineal</t>
  </si>
  <si>
    <t>UN</t>
  </si>
  <si>
    <t>Salida para iluminación hermética</t>
  </si>
  <si>
    <t xml:space="preserve">Salida para Lámpara Descolgada </t>
  </si>
  <si>
    <t xml:space="preserve">Salida para Aviso </t>
  </si>
  <si>
    <t>Salida para Kardan Doble</t>
  </si>
  <si>
    <t>Salida para iluminación led</t>
  </si>
  <si>
    <t>Salida para iluminación de emergencia</t>
  </si>
  <si>
    <t>Salida para Interruptor Doble, incluye tubería PVC diámetro de ½", cable 12 AWG tipo THHN, caja 5800, Interruptor Doble Línea Decora - Levitón, tapa y accesorios.</t>
  </si>
  <si>
    <t>Salida para Toma Corriente Doble con Polo a Tierra 15A 125V Línea Decora Blanca marca LEVITON con Tapa Metálica para ser instaladas en los congeladores, refrigeradores y cajas registradoras.</t>
  </si>
  <si>
    <t>Salida para Toma Corriente Doble con Polo a Tierra 15A 125V Línea Decora Blanca tipo GFCI marca LEVITON con Tapa Metálica para ser instaladas en Zonas donde se pueda presentar humedad</t>
  </si>
  <si>
    <t>Salida para Sensor Lavamanos</t>
  </si>
  <si>
    <t>Salida para Extractores</t>
  </si>
  <si>
    <t>Salida para Toma Corriente Doble con Polo a Tierra 15A 125V Color Naranja con Tapa; para ser instaladas en el Sistema Regulado será la REF: 5262-IG LEVITON</t>
  </si>
  <si>
    <t>Salida Toma corriente Bifásica (Maquina Espresso) (2F#10+1T#10) Incluye Toma Toma Sencilla Incrustar 30AMP 125V 2F + T  REF: L530-R</t>
  </si>
  <si>
    <t>Salida Toma corriente Bifásica [Vitrina Pastelera - Molino Kryo (x2)] (2F#12+1T#12)  Incluye Toma 3X20A Marca Codelca</t>
  </si>
  <si>
    <t>Salida Toma Corriente Trifásica (Horno Combi) Incluye Toma de Incrustar L14-30R la Clavija será suministrada por el proveedor de Maquina.</t>
  </si>
  <si>
    <t>Salida Toma Corriente para alimentación y Salida UPS de tipo Monofásica, Incluye Toma L530-R y Clavija L530-P</t>
  </si>
  <si>
    <t>Suministro e instalación de Luminaria Led de Emergencia tipo aplique para uso interior, con diseño compacto basado en módulos led lineales REF: P26848 Sylvania, Potencia Led 4W, tensión de operación 120-277v con autonomía de 90 min.</t>
  </si>
  <si>
    <t>Suministro de Accesorios y elementos necesarios para la Instalación de Lámparas</t>
  </si>
  <si>
    <t>Suministro de Accesorios y elementos necesarios para la Instalación de Extractores</t>
  </si>
  <si>
    <r>
      <rPr>
        <b/>
        <sz val="10"/>
        <rFont val="Century Gothic"/>
        <family val="2"/>
      </rPr>
      <t>Tablero General Sistema Red Normal [TGN].</t>
    </r>
    <r>
      <rPr>
        <sz val="10"/>
        <rFont val="Century Gothic"/>
        <family val="2"/>
      </rPr>
      <t xml:space="preserve"> Tablero del Tipo Enchufable Trifásico de 30 circuitos </t>
    </r>
    <r>
      <rPr>
        <b/>
        <sz val="10"/>
        <rFont val="Century Gothic"/>
        <family val="2"/>
      </rPr>
      <t>CON</t>
    </r>
    <r>
      <rPr>
        <sz val="10"/>
        <rFont val="Century Gothic"/>
        <family val="2"/>
      </rPr>
      <t xml:space="preserve"> espacio para Totalizar. Con Tapa, Puerta y Chapa; marca certificada Sugerida LEGRAND REF: TWC-30MBO / SCHNEIDER REF: NTQ-430-T-SQ / TERCOL TRP330T</t>
    </r>
  </si>
  <si>
    <r>
      <rPr>
        <b/>
        <sz val="10"/>
        <rFont val="Century Gothic"/>
        <family val="2"/>
      </rPr>
      <t>Tablero monofásico</t>
    </r>
    <r>
      <rPr>
        <sz val="10"/>
        <rFont val="Century Gothic"/>
        <family val="2"/>
      </rPr>
      <t xml:space="preserve"> para interruptores Riel DIN de 6 Circuitos; marca certificada Sugerida SCHNEIDER REF: ZA000611033 / CILES REF: 730301U / PROELECTRICOS REF: 3231E04046</t>
    </r>
  </si>
  <si>
    <t>Breakers Industrial Fijo Termomagnetico de 3x60A 208V, 25kA, para Totalizador Tablero Eléctrico [TN]; Según Referencias REF: 027006 LEGRAND / REF: EZC100B3050 SCHNEIDER / 1SDA066516R1 ABB.</t>
  </si>
  <si>
    <t>Breakers Enchufable 3x30A 208V, 10kA (Ref: DSE-3030 si el Tablero es LEGRAND y Ref: HOM330 si el Tablero es SCHNEIDER y ITM330 Blanco si el Tablero es TERCOL )</t>
  </si>
  <si>
    <t>Breakers Enchufable 2x30A 208V, 10kA (Ref: DSE-2030 si el Tablero es LEGRAND y Ref: HOM230 si el Tablero es SCHNEIDER y ITM230 Blanco si el Tablero es TERCOL )</t>
  </si>
  <si>
    <t>Breakers Enchufable 2x20A 208V, 10kA (Ref: DSE-2020 si el Tablero es LEGRAND y Ref: HOM220 si el Tablero es SCHNEIDER y ITM220 Blanco si el Tablero es TERCOL )</t>
  </si>
  <si>
    <t>Breakers Enchufable 1x30A 208V, 10kA (Ref: DSE-1030 si el Tablero es LEGRAND y Ref: HOM130 si el Tablero es SCHNEIDER y ITM130 Blanco si el Tablero es TERCOL )</t>
  </si>
  <si>
    <t>Breakers Enchufable 1x20A 208V, 10kA (Ref: DSE-1020 si el Tablero es LEGRAND y Ref: HOM120 si el Tablero es SCHNEIDER y ITM120 Blanco si el Tablero es TERCOL )</t>
  </si>
  <si>
    <t>Breakers Diferencial de 2 Polos, Posición del Neutro a la Izquierda, Corriente nominal (In) 25A sensibilidad ante fugas a tierra 30 mA Ref: 411504 LEGRAND;  Ref: A9R61225 SCHNEIDER; Ref: 302600179 CHINT y Ref: SDR22530 STECK</t>
  </si>
  <si>
    <t>Mini Interruptor Automáticos Tipo MCB (Mini Circuit Breakers), Capacidad De Ruptura 10 kA, Protección Termo magnética de 1x20A; REF: BKJ63N 1P C20 / ITM115 / 407671 LEGRAND</t>
  </si>
  <si>
    <t>DPS HOMELINE 120V -20kA Tipo Enchufable HOM120SB - SCHNEIDER</t>
  </si>
  <si>
    <t>Certificación RETIE de Instalaciones Eléctricas ante Organismo Acreditado por la ONAC</t>
  </si>
  <si>
    <t>GLB</t>
  </si>
  <si>
    <t>Instalación de Acometida desde Punto de Conexión asignado hasta ubicación Tablero Eléctrico General proyectado en Cable Cobre 3[F]#4 + 1[N]#6 + 1[T]#8 (Longitud que será verificada en Obra)</t>
  </si>
  <si>
    <t>ML</t>
  </si>
  <si>
    <t>Instalación de Acometida en Cable Cobre 1[F]#10 + 1[N]#10 + 1[T]#10 (Longitud que será verificada en Obra)</t>
  </si>
  <si>
    <t>1Ø1" PVC</t>
  </si>
  <si>
    <t>1Ø1¼" PVC</t>
  </si>
  <si>
    <t>ILUMINACION</t>
  </si>
  <si>
    <t>Suminstro e instalacion de lamparas de emergencia tipo Mickey Mouse (incluye tuberia y cableado)</t>
  </si>
  <si>
    <t xml:space="preserve">Suministro e instalacion de Lámpara Imperia metálica descolgada (incluye apertura de cieloraso y resane si aplica Luz:  temperatura 3000k) </t>
  </si>
  <si>
    <t>Suministro e instalación de Lámpara lineal estructura en aluminio, luz led para iluminación de zona de operaciones y lobby (Medidas: 120x3,5x3,5cm Luz: temperatura 3000k)</t>
  </si>
  <si>
    <t>Suministro e instalación de Lámpara doble cardan dirigible negra (Medidas: 17,9x10x5,2cm Luz: LED cálida temperatura 3000k)</t>
  </si>
  <si>
    <t>Suministro e instalación de Lampara  hermética fluorescente Led T8/32W bodega</t>
  </si>
  <si>
    <t>DISEÑO DETECCION</t>
  </si>
  <si>
    <t>Suministro, transporte e instalación de detector de temperatura inteligente, direccionable, (detector de aumento de tasa de calor), marca Simplex referencia 4098-9733. Incluye base estandar para detector.</t>
  </si>
  <si>
    <t>Un</t>
  </si>
  <si>
    <t>Suministro, transporte e instalación de estación manual de doble acción.</t>
  </si>
  <si>
    <t>Suministro, transporte e instalación de módulo aislador de cortocircuito referncia 4090-9116, incluye base.</t>
  </si>
  <si>
    <t>Suministro, transporte e instalación de tubería EMT 3/4", incluye accesorios de instalación.</t>
  </si>
  <si>
    <t>Ml</t>
  </si>
  <si>
    <t>Suministro, transporte e instalación de cable FPLR 2x18.</t>
  </si>
  <si>
    <t>Suministro, transporte e instalación de caja metàlica de 4x4" con tapa, para albergar modulos del sistema de detección de incendios.</t>
  </si>
  <si>
    <t xml:space="preserve">RED DE INCENDIO  </t>
  </si>
  <si>
    <t>TUBERIA ACERO AL CARBON. SCH 40 ROSCADO EN 1"</t>
  </si>
  <si>
    <t>ACCESORIOS ACERO ROSCADOS EN 1"</t>
  </si>
  <si>
    <t>ACCESORIOS ACERO ROSCADOS EN 1.1/4"</t>
  </si>
  <si>
    <t>ROCIADOR AUTOMATICO UP PENDENT cobertura extendida 5.5X5.5 (K=11.2) Ø1/2"</t>
  </si>
  <si>
    <t xml:space="preserve">ESCUDO DE ROCIADOR </t>
  </si>
  <si>
    <t>ROCIADOR AUTOMATICO UP PENDENT cobertura extendida 5.5X5.5 (K=11.2) Ø1/2" Para repuesto</t>
  </si>
  <si>
    <t>PUNTO HIDRAULICO ROCIADOR K=5.6 Ø1/2"</t>
  </si>
  <si>
    <t>MONTAJE ROCIADOR</t>
  </si>
  <si>
    <t xml:space="preserve">SOPORTE 1" </t>
  </si>
  <si>
    <t>PINTURA DE TUBERIA EN ESMALTE 1"</t>
  </si>
  <si>
    <t>CCTV Y DATOS</t>
  </si>
  <si>
    <t>Salida Para Datos Doble en Categoría 6; Incluye Tubería de 1"; ¾" PVC - EMT, Caja Metálica Ref. 2400 (4"X4"), Cable UTP Cat 6 CORNING</t>
  </si>
  <si>
    <t>Salida Para Datos Sencilla en Categoría 6; Incluye Tubería De 3/4" EMT, Caja Metálica Ref. 2400 (4"X4"), Cable UTP Cat 6 CORNING</t>
  </si>
  <si>
    <t>Suministro e Instalación de Gabinete Rack de Pared de Tapas laterales removibles GT-2189 - 14U (Alto: 684 mm, Ancho: 525 mm, Fondo: 510 mm</t>
  </si>
  <si>
    <t>Herraje plano Categoría 6 o 6A - 24 Puertos CORNING</t>
  </si>
  <si>
    <t>Conector Jack RJ45, Categoría 6 CORNING</t>
  </si>
  <si>
    <t>Face Plate Doble Blanco, Incluye Tapa Espacio CORNING; Incluye Tapa Espacio</t>
  </si>
  <si>
    <t>Suministro e Instalación en Rack de Patch Cords Categoría 6 UTP Color Azul de 50cms</t>
  </si>
  <si>
    <t>Suministro e Instalación en Rack de Patch Cords Categoría 6 UTP Color Azul de 1,5 mts</t>
  </si>
  <si>
    <t>Suministro y Conexión de Swich Web Smart Gigabit de 24 Puertos con 4 Puertos Gigabit Y 2 Ranuras Mini- Gbic Teg-424ws (V1.0r)</t>
  </si>
  <si>
    <t>Suministro de MultiToma Horizontal con 6 salidas eléctricas con Polo Aislado a Tierra para ser Instalada en el Rack con Interruptor Piloto</t>
  </si>
  <si>
    <t>Organizador de Cables Horizontal para Rack 1U</t>
  </si>
  <si>
    <t>Marcación y Certificación de Puntos Datos &amp; Datos</t>
  </si>
  <si>
    <t>item</t>
  </si>
  <si>
    <t>descripcion</t>
  </si>
  <si>
    <t>un</t>
  </si>
  <si>
    <t>cant</t>
  </si>
  <si>
    <t>valor_unitario</t>
  </si>
  <si>
    <t>valor_parcial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</si>
</sst>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4" formatCode="_-&quot;$&quot;\ * #,##0.00_-;\-&quot;$&quot;\ * #,##0.00_-;_-&quot;$&quot;\ * &quot;-&quot;??_-;_-@_-"/>
    <numFmt numFmtId="164" formatCode="d&quot; de &quot;mmm&quot; de &quot;yy"/>
    <numFmt numFmtId="165" formatCode="0.0"/>
    <numFmt numFmtId="166" formatCode="_-* #,##0.00_-;\-* #,##0.00_-;_-* &quot;-&quot;_-;_-@_-"/>
    <numFmt numFmtId="167" formatCode="#,##0.0_ ;[Red]\-#,##0.0\ "/>
    <numFmt numFmtId="168" formatCode="_(* #,##0_);_(* \(#,##0\);_(* \-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0"/>
      <name val="Century Gothic"/>
      <family val="2"/>
    </font>
    <font>
      <sz val="10"/>
      <name val="Century Gothic"/>
      <family val="2"/>
    </font>
    <font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D8D8D8"/>
        <bgColor rgb="FFD8D8D8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</cellStyleXfs>
  <cellXfs count="37">
    <xf numFmtId="0" fontId="0" fillId="0" borderId="0" xfId="0"/>
    <xf numFmtId="0" fontId="3" fillId="2" borderId="1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2" fontId="3" fillId="2" borderId="1" xfId="1" applyNumberFormat="1" applyFont="1" applyFill="1" applyBorder="1" applyAlignment="1" applyProtection="1">
      <alignment horizontal="center" vertical="center"/>
    </xf>
    <xf numFmtId="44" fontId="3" fillId="2" borderId="1" xfId="2" applyFont="1" applyFill="1" applyBorder="1" applyAlignment="1" applyProtection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2" fillId="0" borderId="1" xfId="3" applyFont="1" applyBorder="1" applyAlignment="1">
      <alignment vertical="center" wrapText="1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1" applyNumberFormat="1" applyFont="1" applyBorder="1" applyAlignment="1">
      <alignment horizontal="center" vertical="center"/>
    </xf>
    <xf numFmtId="44" fontId="2" fillId="0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wrapText="1"/>
    </xf>
    <xf numFmtId="3" fontId="3" fillId="2" borderId="1" xfId="0" applyNumberFormat="1" applyFont="1" applyFill="1" applyBorder="1" applyAlignment="1">
      <alignment horizontal="center" vertical="center"/>
    </xf>
    <xf numFmtId="44" fontId="3" fillId="2" borderId="1" xfId="2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44" fontId="2" fillId="0" borderId="1" xfId="2" applyFont="1" applyFill="1" applyBorder="1" applyAlignment="1">
      <alignment horizontal="center" vertical="center"/>
    </xf>
    <xf numFmtId="44" fontId="2" fillId="0" borderId="1" xfId="2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165" fontId="6" fillId="0" borderId="1" xfId="0" applyNumberFormat="1" applyFont="1" applyBorder="1" applyAlignment="1">
      <alignment horizontal="center" vertical="center"/>
    </xf>
    <xf numFmtId="44" fontId="3" fillId="0" borderId="1" xfId="2" applyFont="1" applyFill="1" applyBorder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166" fontId="2" fillId="0" borderId="2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/>
    </xf>
    <xf numFmtId="44" fontId="2" fillId="2" borderId="1" xfId="2" applyFont="1" applyFill="1" applyBorder="1" applyAlignment="1">
      <alignment horizontal="center" vertical="center"/>
    </xf>
    <xf numFmtId="44" fontId="2" fillId="2" borderId="1" xfId="2" applyFont="1" applyFill="1" applyBorder="1" applyAlignment="1">
      <alignment vertical="center"/>
    </xf>
    <xf numFmtId="3" fontId="9" fillId="0" borderId="1" xfId="0" applyNumberFormat="1" applyFont="1" applyBorder="1" applyAlignment="1">
      <alignment horizontal="center" vertical="center"/>
    </xf>
    <xf numFmtId="49" fontId="6" fillId="3" borderId="3" xfId="0" applyNumberFormat="1" applyFont="1" applyFill="1" applyBorder="1" applyAlignment="1">
      <alignment vertical="center"/>
    </xf>
    <xf numFmtId="164" fontId="6" fillId="3" borderId="1" xfId="0" applyNumberFormat="1" applyFont="1" applyFill="1" applyBorder="1" applyAlignment="1">
      <alignment vertical="center" wrapText="1"/>
    </xf>
    <xf numFmtId="49" fontId="6" fillId="3" borderId="1" xfId="0" applyNumberFormat="1" applyFont="1" applyFill="1" applyBorder="1" applyAlignment="1">
      <alignment horizontal="center" vertical="center"/>
    </xf>
    <xf numFmtId="167" fontId="6" fillId="3" borderId="1" xfId="0" applyNumberFormat="1" applyFont="1" applyFill="1" applyBorder="1" applyAlignment="1">
      <alignment horizontal="center" vertical="center"/>
    </xf>
    <xf numFmtId="168" fontId="6" fillId="3" borderId="1" xfId="0" applyNumberFormat="1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/>
    </xf>
  </cellXfs>
  <cellStyles count="4">
    <cellStyle name="Millares [0]" xfId="1" builtinId="6"/>
    <cellStyle name="Moneda" xfId="2" builtinId="4"/>
    <cellStyle name="Normal" xfId="0" builtinId="0"/>
    <cellStyle name="Normal 2" xfId="3" xr:uid="{EC6114F9-14CA-466F-A54F-F3ADB815C9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1B66-4A93-4A21-8421-2DA994B74D5D}">
  <dimension ref="A1:F139"/>
  <sheetViews>
    <sheetView tabSelected="1" workbookViewId="0">
      <selection activeCell="H5" sqref="H5"/>
    </sheetView>
  </sheetViews>
  <sheetFormatPr baseColWidth="10" defaultRowHeight="15" x14ac:dyDescent="0.25"/>
  <cols>
    <col min="6" max="6" width="13.28515625" bestFit="1" customWidth="1"/>
  </cols>
  <sheetData>
    <row r="1" spans="1:6" x14ac:dyDescent="0.25">
      <c r="A1" s="31" t="s">
        <v>140</v>
      </c>
      <c r="B1" s="32" t="s">
        <v>141</v>
      </c>
      <c r="C1" s="33" t="s">
        <v>142</v>
      </c>
      <c r="D1" s="34" t="s">
        <v>143</v>
      </c>
      <c r="E1" s="35" t="s">
        <v>144</v>
      </c>
      <c r="F1" s="36" t="s">
        <v>145</v>
      </c>
    </row>
    <row r="2" spans="1:6" ht="22.5" x14ac:dyDescent="0.25">
      <c r="A2" s="1">
        <v>1</v>
      </c>
      <c r="B2" s="2" t="s">
        <v>0</v>
      </c>
      <c r="C2" s="3"/>
      <c r="D2" s="4"/>
      <c r="E2" s="5"/>
      <c r="F2" s="5">
        <f>SUM(F3:F4)</f>
        <v>2209300</v>
      </c>
    </row>
    <row r="3" spans="1:6" ht="45" x14ac:dyDescent="0.25">
      <c r="A3" s="6"/>
      <c r="B3" s="7" t="s">
        <v>1</v>
      </c>
      <c r="C3" s="8" t="s">
        <v>2</v>
      </c>
      <c r="D3" s="9">
        <v>31</v>
      </c>
      <c r="E3" s="10">
        <v>25300</v>
      </c>
      <c r="F3" s="10">
        <f>D3*E3</f>
        <v>784300</v>
      </c>
    </row>
    <row r="4" spans="1:6" ht="90" x14ac:dyDescent="0.25">
      <c r="A4" s="6"/>
      <c r="B4" s="11" t="s">
        <v>3</v>
      </c>
      <c r="C4" s="8" t="s">
        <v>4</v>
      </c>
      <c r="D4" s="9">
        <v>5</v>
      </c>
      <c r="E4" s="10">
        <v>285000</v>
      </c>
      <c r="F4" s="10">
        <f>D4*E4</f>
        <v>1425000</v>
      </c>
    </row>
    <row r="5" spans="1:6" ht="45.75" x14ac:dyDescent="0.25">
      <c r="A5" s="1">
        <v>2</v>
      </c>
      <c r="B5" s="12" t="s">
        <v>5</v>
      </c>
      <c r="C5" s="13"/>
      <c r="D5" s="13"/>
      <c r="E5" s="14"/>
      <c r="F5" s="5">
        <f>SUM(F6:F12)</f>
        <v>1785000</v>
      </c>
    </row>
    <row r="6" spans="1:6" ht="101.25" x14ac:dyDescent="0.25">
      <c r="A6" s="15"/>
      <c r="B6" s="7" t="s">
        <v>6</v>
      </c>
      <c r="C6" s="8" t="s">
        <v>4</v>
      </c>
      <c r="D6" s="9">
        <v>10</v>
      </c>
      <c r="E6" s="10">
        <v>15000</v>
      </c>
      <c r="F6" s="10">
        <f t="shared" ref="F6:F12" si="0">D6*E6</f>
        <v>150000</v>
      </c>
    </row>
    <row r="7" spans="1:6" ht="78.75" x14ac:dyDescent="0.25">
      <c r="A7" s="15"/>
      <c r="B7" s="7" t="s">
        <v>7</v>
      </c>
      <c r="C7" s="8" t="s">
        <v>4</v>
      </c>
      <c r="D7" s="9">
        <v>10</v>
      </c>
      <c r="E7" s="10">
        <v>15000</v>
      </c>
      <c r="F7" s="10">
        <f t="shared" si="0"/>
        <v>150000</v>
      </c>
    </row>
    <row r="8" spans="1:6" ht="78.75" x14ac:dyDescent="0.25">
      <c r="A8" s="15"/>
      <c r="B8" s="7" t="s">
        <v>8</v>
      </c>
      <c r="C8" s="8" t="s">
        <v>4</v>
      </c>
      <c r="D8" s="9">
        <v>10</v>
      </c>
      <c r="E8" s="10">
        <v>15000</v>
      </c>
      <c r="F8" s="10">
        <f t="shared" si="0"/>
        <v>150000</v>
      </c>
    </row>
    <row r="9" spans="1:6" ht="90" x14ac:dyDescent="0.25">
      <c r="A9" s="15"/>
      <c r="B9" s="7" t="s">
        <v>9</v>
      </c>
      <c r="C9" s="8" t="s">
        <v>2</v>
      </c>
      <c r="D9" s="9">
        <v>20</v>
      </c>
      <c r="E9" s="10">
        <v>25000</v>
      </c>
      <c r="F9" s="10">
        <f t="shared" si="0"/>
        <v>500000</v>
      </c>
    </row>
    <row r="10" spans="1:6" ht="33.75" x14ac:dyDescent="0.25">
      <c r="A10" s="15"/>
      <c r="B10" s="7" t="s">
        <v>10</v>
      </c>
      <c r="C10" s="8" t="s">
        <v>4</v>
      </c>
      <c r="D10" s="9">
        <v>1</v>
      </c>
      <c r="E10" s="10">
        <v>95000</v>
      </c>
      <c r="F10" s="10">
        <f>D10*E10</f>
        <v>95000</v>
      </c>
    </row>
    <row r="11" spans="1:6" ht="67.5" x14ac:dyDescent="0.25">
      <c r="A11" s="15"/>
      <c r="B11" s="7" t="s">
        <v>11</v>
      </c>
      <c r="C11" s="8" t="s">
        <v>2</v>
      </c>
      <c r="D11" s="9">
        <v>31</v>
      </c>
      <c r="E11" s="10">
        <v>20000</v>
      </c>
      <c r="F11" s="10">
        <f t="shared" si="0"/>
        <v>620000</v>
      </c>
    </row>
    <row r="12" spans="1:6" ht="45" x14ac:dyDescent="0.25">
      <c r="A12" s="16"/>
      <c r="B12" s="7" t="s">
        <v>12</v>
      </c>
      <c r="C12" s="8" t="s">
        <v>4</v>
      </c>
      <c r="D12" s="9">
        <v>1</v>
      </c>
      <c r="E12" s="10">
        <v>120000</v>
      </c>
      <c r="F12" s="10">
        <f t="shared" si="0"/>
        <v>120000</v>
      </c>
    </row>
    <row r="13" spans="1:6" ht="23.25" x14ac:dyDescent="0.25">
      <c r="A13" s="1">
        <v>3</v>
      </c>
      <c r="B13" s="12" t="s">
        <v>13</v>
      </c>
      <c r="C13" s="13"/>
      <c r="D13" s="13"/>
      <c r="E13" s="14"/>
      <c r="F13" s="5">
        <f>SUM(F14:F26)</f>
        <v>76719506.073578596</v>
      </c>
    </row>
    <row r="14" spans="1:6" ht="315" x14ac:dyDescent="0.25">
      <c r="A14" s="15"/>
      <c r="B14" s="17" t="s">
        <v>14</v>
      </c>
      <c r="C14" s="8" t="s">
        <v>2</v>
      </c>
      <c r="D14" s="9">
        <v>31</v>
      </c>
      <c r="E14" s="18">
        <v>335800</v>
      </c>
      <c r="F14" s="10">
        <f>D14*E14</f>
        <v>10409800</v>
      </c>
    </row>
    <row r="15" spans="1:6" ht="112.5" x14ac:dyDescent="0.25">
      <c r="A15" s="15"/>
      <c r="B15" s="17" t="s">
        <v>15</v>
      </c>
      <c r="C15" s="8" t="s">
        <v>16</v>
      </c>
      <c r="D15" s="9">
        <v>15</v>
      </c>
      <c r="E15" s="18">
        <v>28700</v>
      </c>
      <c r="F15" s="10">
        <f t="shared" ref="F15:F26" si="1">D15*E15</f>
        <v>430500</v>
      </c>
    </row>
    <row r="16" spans="1:6" ht="22.5" x14ac:dyDescent="0.25">
      <c r="A16" s="15"/>
      <c r="B16" s="17" t="s">
        <v>17</v>
      </c>
      <c r="C16" s="8" t="s">
        <v>2</v>
      </c>
      <c r="D16" s="9">
        <v>31</v>
      </c>
      <c r="E16" s="18">
        <v>75800</v>
      </c>
      <c r="F16" s="10">
        <f t="shared" si="1"/>
        <v>2349800</v>
      </c>
    </row>
    <row r="17" spans="1:6" ht="123.75" x14ac:dyDescent="0.25">
      <c r="A17" s="15"/>
      <c r="B17" s="17" t="s">
        <v>18</v>
      </c>
      <c r="C17" s="8" t="s">
        <v>2</v>
      </c>
      <c r="D17" s="9">
        <v>2</v>
      </c>
      <c r="E17" s="18">
        <v>160000</v>
      </c>
      <c r="F17" s="10">
        <f>D17*E17</f>
        <v>320000</v>
      </c>
    </row>
    <row r="18" spans="1:6" ht="146.25" x14ac:dyDescent="0.25">
      <c r="A18" s="15"/>
      <c r="B18" s="17" t="s">
        <v>19</v>
      </c>
      <c r="C18" s="8" t="s">
        <v>2</v>
      </c>
      <c r="D18" s="9">
        <v>12</v>
      </c>
      <c r="E18" s="18">
        <v>463107</v>
      </c>
      <c r="F18" s="10">
        <f t="shared" si="1"/>
        <v>5557284</v>
      </c>
    </row>
    <row r="19" spans="1:6" ht="168.75" x14ac:dyDescent="0.25">
      <c r="A19" s="15"/>
      <c r="B19" s="17" t="s">
        <v>20</v>
      </c>
      <c r="C19" s="8" t="s">
        <v>2</v>
      </c>
      <c r="D19" s="9">
        <v>31</v>
      </c>
      <c r="E19" s="18">
        <v>225800</v>
      </c>
      <c r="F19" s="10">
        <f t="shared" si="1"/>
        <v>6999800</v>
      </c>
    </row>
    <row r="20" spans="1:6" ht="135" x14ac:dyDescent="0.25">
      <c r="A20" s="15"/>
      <c r="B20" s="7" t="s">
        <v>21</v>
      </c>
      <c r="C20" s="8" t="s">
        <v>16</v>
      </c>
      <c r="D20" s="9">
        <v>33</v>
      </c>
      <c r="E20" s="18">
        <v>68500</v>
      </c>
      <c r="F20" s="10">
        <f t="shared" si="1"/>
        <v>2260500</v>
      </c>
    </row>
    <row r="21" spans="1:6" ht="135" x14ac:dyDescent="0.25">
      <c r="A21" s="15"/>
      <c r="B21" s="7" t="s">
        <v>22</v>
      </c>
      <c r="C21" s="8" t="s">
        <v>16</v>
      </c>
      <c r="D21" s="9">
        <v>33</v>
      </c>
      <c r="E21" s="18">
        <v>61400</v>
      </c>
      <c r="F21" s="10">
        <f t="shared" si="1"/>
        <v>2026200</v>
      </c>
    </row>
    <row r="22" spans="1:6" ht="146.25" x14ac:dyDescent="0.25">
      <c r="A22" s="15"/>
      <c r="B22" s="17" t="s">
        <v>23</v>
      </c>
      <c r="C22" s="8" t="s">
        <v>2</v>
      </c>
      <c r="D22" s="9">
        <v>10</v>
      </c>
      <c r="E22" s="18">
        <v>84900</v>
      </c>
      <c r="F22" s="10">
        <f>D22*E22</f>
        <v>849000</v>
      </c>
    </row>
    <row r="23" spans="1:6" ht="168.75" x14ac:dyDescent="0.25">
      <c r="A23" s="15"/>
      <c r="B23" s="17" t="s">
        <v>24</v>
      </c>
      <c r="C23" s="8" t="s">
        <v>2</v>
      </c>
      <c r="D23" s="9">
        <v>21</v>
      </c>
      <c r="E23" s="18">
        <v>1642199.9999999998</v>
      </c>
      <c r="F23" s="10">
        <f>D23*E23</f>
        <v>34486199.999999993</v>
      </c>
    </row>
    <row r="24" spans="1:6" ht="168.75" x14ac:dyDescent="0.25">
      <c r="A24" s="15"/>
      <c r="B24" s="17" t="s">
        <v>24</v>
      </c>
      <c r="C24" s="8" t="s">
        <v>16</v>
      </c>
      <c r="D24" s="9">
        <v>12</v>
      </c>
      <c r="E24" s="18">
        <v>547400</v>
      </c>
      <c r="F24" s="10">
        <f>D24*E24</f>
        <v>6568800</v>
      </c>
    </row>
    <row r="25" spans="1:6" ht="191.25" x14ac:dyDescent="0.25">
      <c r="A25" s="15"/>
      <c r="B25" s="17" t="s">
        <v>25</v>
      </c>
      <c r="C25" s="8" t="s">
        <v>2</v>
      </c>
      <c r="D25" s="9">
        <v>14</v>
      </c>
      <c r="E25" s="18">
        <v>212458.19397993304</v>
      </c>
      <c r="F25" s="10">
        <f>D25*E25</f>
        <v>2974414.7157190628</v>
      </c>
    </row>
    <row r="26" spans="1:6" ht="191.25" x14ac:dyDescent="0.25">
      <c r="A26" s="15"/>
      <c r="B26" s="17" t="s">
        <v>25</v>
      </c>
      <c r="C26" s="8" t="s">
        <v>16</v>
      </c>
      <c r="D26" s="9">
        <v>14</v>
      </c>
      <c r="E26" s="18">
        <v>106229.09698996652</v>
      </c>
      <c r="F26" s="10">
        <f t="shared" si="1"/>
        <v>1487207.3578595314</v>
      </c>
    </row>
    <row r="27" spans="1:6" ht="34.5" x14ac:dyDescent="0.25">
      <c r="A27" s="1">
        <v>4</v>
      </c>
      <c r="B27" s="12" t="s">
        <v>26</v>
      </c>
      <c r="C27" s="13"/>
      <c r="D27" s="13"/>
      <c r="E27" s="14"/>
      <c r="F27" s="5">
        <f>SUM(F28:F35)</f>
        <v>11205926</v>
      </c>
    </row>
    <row r="28" spans="1:6" ht="135" x14ac:dyDescent="0.25">
      <c r="A28" s="6"/>
      <c r="B28" s="17" t="s">
        <v>27</v>
      </c>
      <c r="C28" s="8" t="s">
        <v>16</v>
      </c>
      <c r="D28" s="9">
        <v>16</v>
      </c>
      <c r="E28" s="10">
        <v>54900</v>
      </c>
      <c r="F28" s="10">
        <f t="shared" ref="F28:F35" si="2">D28*E28</f>
        <v>878400</v>
      </c>
    </row>
    <row r="29" spans="1:6" ht="123.75" x14ac:dyDescent="0.25">
      <c r="A29" s="15"/>
      <c r="B29" s="7" t="s">
        <v>28</v>
      </c>
      <c r="C29" s="8" t="s">
        <v>2</v>
      </c>
      <c r="D29" s="9">
        <v>1</v>
      </c>
      <c r="E29" s="18">
        <v>285000</v>
      </c>
      <c r="F29" s="10">
        <f>D29*E29</f>
        <v>285000</v>
      </c>
    </row>
    <row r="30" spans="1:6" ht="123.75" x14ac:dyDescent="0.25">
      <c r="A30" s="15"/>
      <c r="B30" s="7" t="s">
        <v>29</v>
      </c>
      <c r="C30" s="8" t="s">
        <v>2</v>
      </c>
      <c r="D30" s="9">
        <v>11</v>
      </c>
      <c r="E30" s="18">
        <v>132800</v>
      </c>
      <c r="F30" s="10">
        <f t="shared" si="2"/>
        <v>1460800</v>
      </c>
    </row>
    <row r="31" spans="1:6" ht="135" x14ac:dyDescent="0.25">
      <c r="A31" s="15"/>
      <c r="B31" s="7" t="s">
        <v>30</v>
      </c>
      <c r="C31" s="8" t="s">
        <v>2</v>
      </c>
      <c r="D31" s="9">
        <v>30</v>
      </c>
      <c r="E31" s="18">
        <v>195400</v>
      </c>
      <c r="F31" s="10">
        <f t="shared" si="2"/>
        <v>5862000</v>
      </c>
    </row>
    <row r="32" spans="1:6" ht="157.5" x14ac:dyDescent="0.25">
      <c r="A32" s="15"/>
      <c r="B32" s="7" t="s">
        <v>31</v>
      </c>
      <c r="C32" s="8" t="s">
        <v>16</v>
      </c>
      <c r="D32" s="9">
        <v>15</v>
      </c>
      <c r="E32" s="18">
        <v>79680</v>
      </c>
      <c r="F32" s="10">
        <f t="shared" si="2"/>
        <v>1195200</v>
      </c>
    </row>
    <row r="33" spans="1:6" ht="135" x14ac:dyDescent="0.25">
      <c r="A33" s="15"/>
      <c r="B33" s="7" t="s">
        <v>32</v>
      </c>
      <c r="C33" s="8" t="s">
        <v>2</v>
      </c>
      <c r="D33" s="9">
        <v>2</v>
      </c>
      <c r="E33" s="18">
        <v>130063</v>
      </c>
      <c r="F33" s="10">
        <f t="shared" si="2"/>
        <v>260126</v>
      </c>
    </row>
    <row r="34" spans="1:6" ht="67.5" x14ac:dyDescent="0.25">
      <c r="A34" s="15"/>
      <c r="B34" s="7" t="s">
        <v>33</v>
      </c>
      <c r="C34" s="8" t="s">
        <v>2</v>
      </c>
      <c r="D34" s="9">
        <v>0</v>
      </c>
      <c r="E34" s="18">
        <v>28400</v>
      </c>
      <c r="F34" s="10">
        <f t="shared" si="2"/>
        <v>0</v>
      </c>
    </row>
    <row r="35" spans="1:6" ht="146.25" x14ac:dyDescent="0.25">
      <c r="A35" s="15"/>
      <c r="B35" s="7" t="s">
        <v>34</v>
      </c>
      <c r="C35" s="8" t="s">
        <v>2</v>
      </c>
      <c r="D35" s="9">
        <v>58</v>
      </c>
      <c r="E35" s="18">
        <v>21800</v>
      </c>
      <c r="F35" s="10">
        <f t="shared" si="2"/>
        <v>1264400</v>
      </c>
    </row>
    <row r="36" spans="1:6" x14ac:dyDescent="0.25">
      <c r="A36" s="1">
        <v>5</v>
      </c>
      <c r="B36" s="12" t="s">
        <v>35</v>
      </c>
      <c r="C36" s="13"/>
      <c r="D36" s="13"/>
      <c r="E36" s="14"/>
      <c r="F36" s="5">
        <f>SUM(F37:F40)</f>
        <v>3993900</v>
      </c>
    </row>
    <row r="37" spans="1:6" ht="180" x14ac:dyDescent="0.25">
      <c r="A37" s="15"/>
      <c r="B37" s="7" t="s">
        <v>36</v>
      </c>
      <c r="C37" s="8" t="s">
        <v>2</v>
      </c>
      <c r="D37" s="9">
        <v>31</v>
      </c>
      <c r="E37" s="19">
        <v>93800</v>
      </c>
      <c r="F37" s="10">
        <f>D37*E37</f>
        <v>2907800</v>
      </c>
    </row>
    <row r="38" spans="1:6" ht="78.75" x14ac:dyDescent="0.25">
      <c r="A38" s="15"/>
      <c r="B38" s="7" t="s">
        <v>37</v>
      </c>
      <c r="C38" s="8" t="s">
        <v>4</v>
      </c>
      <c r="D38" s="9">
        <v>1</v>
      </c>
      <c r="E38" s="19">
        <v>65400</v>
      </c>
      <c r="F38" s="10">
        <f>D38*E38</f>
        <v>65400</v>
      </c>
    </row>
    <row r="39" spans="1:6" ht="78.75" x14ac:dyDescent="0.25">
      <c r="A39" s="15"/>
      <c r="B39" s="7" t="s">
        <v>38</v>
      </c>
      <c r="C39" s="8" t="s">
        <v>4</v>
      </c>
      <c r="D39" s="9">
        <v>1</v>
      </c>
      <c r="E39" s="19">
        <v>48900</v>
      </c>
      <c r="F39" s="10">
        <f>D39*E39</f>
        <v>48900</v>
      </c>
    </row>
    <row r="40" spans="1:6" ht="113.25" x14ac:dyDescent="0.25">
      <c r="A40" s="15"/>
      <c r="B40" s="20" t="s">
        <v>39</v>
      </c>
      <c r="C40" s="21" t="s">
        <v>4</v>
      </c>
      <c r="D40" s="9">
        <v>2</v>
      </c>
      <c r="E40" s="19">
        <v>485900</v>
      </c>
      <c r="F40" s="10">
        <f>D40*E40</f>
        <v>971800</v>
      </c>
    </row>
    <row r="41" spans="1:6" ht="34.5" x14ac:dyDescent="0.25">
      <c r="A41" s="1">
        <v>6</v>
      </c>
      <c r="B41" s="12" t="s">
        <v>40</v>
      </c>
      <c r="C41" s="13"/>
      <c r="D41" s="13"/>
      <c r="E41" s="14"/>
      <c r="F41" s="5">
        <f>SUM(F42:F65)</f>
        <v>10409280</v>
      </c>
    </row>
    <row r="42" spans="1:6" ht="45" x14ac:dyDescent="0.25">
      <c r="A42" s="6"/>
      <c r="B42" s="17" t="s">
        <v>41</v>
      </c>
      <c r="C42" s="8" t="s">
        <v>16</v>
      </c>
      <c r="D42" s="9">
        <v>20</v>
      </c>
      <c r="E42" s="10">
        <v>13400</v>
      </c>
      <c r="F42" s="10">
        <f>D42*E42</f>
        <v>268000</v>
      </c>
    </row>
    <row r="43" spans="1:6" ht="33.75" x14ac:dyDescent="0.25">
      <c r="A43" s="6"/>
      <c r="B43" s="17" t="s">
        <v>42</v>
      </c>
      <c r="C43" s="8" t="s">
        <v>4</v>
      </c>
      <c r="D43" s="9">
        <v>25</v>
      </c>
      <c r="E43" s="10">
        <v>9400</v>
      </c>
      <c r="F43" s="10">
        <f>D43*E43</f>
        <v>235000</v>
      </c>
    </row>
    <row r="44" spans="1:6" ht="22.5" x14ac:dyDescent="0.25">
      <c r="A44" s="6"/>
      <c r="B44" s="17" t="s">
        <v>43</v>
      </c>
      <c r="C44" s="8" t="s">
        <v>4</v>
      </c>
      <c r="D44" s="9">
        <v>6</v>
      </c>
      <c r="E44" s="10">
        <v>58900</v>
      </c>
      <c r="F44" s="10">
        <f>D44*E44</f>
        <v>353400</v>
      </c>
    </row>
    <row r="45" spans="1:6" ht="33.75" x14ac:dyDescent="0.25">
      <c r="A45" s="6"/>
      <c r="B45" s="17" t="s">
        <v>44</v>
      </c>
      <c r="C45" s="8" t="s">
        <v>4</v>
      </c>
      <c r="D45" s="9">
        <v>2</v>
      </c>
      <c r="E45" s="22">
        <v>35800</v>
      </c>
      <c r="F45" s="10">
        <f>D45*E45</f>
        <v>71600</v>
      </c>
    </row>
    <row r="46" spans="1:6" ht="33.75" x14ac:dyDescent="0.25">
      <c r="A46" s="6"/>
      <c r="B46" s="17" t="s">
        <v>45</v>
      </c>
      <c r="C46" s="8" t="s">
        <v>4</v>
      </c>
      <c r="D46" s="9">
        <v>6</v>
      </c>
      <c r="E46" s="10">
        <v>95300</v>
      </c>
      <c r="F46" s="10">
        <f t="shared" ref="F46:F65" si="3">D46*E46</f>
        <v>571800</v>
      </c>
    </row>
    <row r="47" spans="1:6" ht="45" x14ac:dyDescent="0.25">
      <c r="A47" s="6"/>
      <c r="B47" s="17" t="s">
        <v>41</v>
      </c>
      <c r="C47" s="8" t="s">
        <v>16</v>
      </c>
      <c r="D47" s="9">
        <v>18</v>
      </c>
      <c r="E47" s="10">
        <v>13400</v>
      </c>
      <c r="F47" s="10">
        <f t="shared" si="3"/>
        <v>241200</v>
      </c>
    </row>
    <row r="48" spans="1:6" ht="33.75" x14ac:dyDescent="0.25">
      <c r="A48" s="6"/>
      <c r="B48" s="17" t="s">
        <v>42</v>
      </c>
      <c r="C48" s="8" t="s">
        <v>4</v>
      </c>
      <c r="D48" s="9">
        <v>28</v>
      </c>
      <c r="E48" s="10">
        <v>9400</v>
      </c>
      <c r="F48" s="10">
        <f t="shared" si="3"/>
        <v>263200</v>
      </c>
    </row>
    <row r="49" spans="1:6" ht="22.5" x14ac:dyDescent="0.25">
      <c r="A49" s="6"/>
      <c r="B49" s="17" t="s">
        <v>43</v>
      </c>
      <c r="C49" s="8" t="s">
        <v>4</v>
      </c>
      <c r="D49" s="9">
        <v>5</v>
      </c>
      <c r="E49" s="10">
        <v>58900</v>
      </c>
      <c r="F49" s="10">
        <f t="shared" si="3"/>
        <v>294500</v>
      </c>
    </row>
    <row r="50" spans="1:6" ht="33.75" x14ac:dyDescent="0.25">
      <c r="A50" s="6"/>
      <c r="B50" s="17" t="s">
        <v>45</v>
      </c>
      <c r="C50" s="8" t="s">
        <v>4</v>
      </c>
      <c r="D50" s="9">
        <v>4</v>
      </c>
      <c r="E50" s="10">
        <v>95300</v>
      </c>
      <c r="F50" s="10">
        <f t="shared" si="3"/>
        <v>381200</v>
      </c>
    </row>
    <row r="51" spans="1:6" ht="45" x14ac:dyDescent="0.25">
      <c r="A51" s="6"/>
      <c r="B51" s="17" t="s">
        <v>46</v>
      </c>
      <c r="C51" s="8" t="s">
        <v>4</v>
      </c>
      <c r="D51" s="9">
        <v>6</v>
      </c>
      <c r="E51" s="10">
        <v>195200</v>
      </c>
      <c r="F51" s="10">
        <f t="shared" si="3"/>
        <v>1171200</v>
      </c>
    </row>
    <row r="52" spans="1:6" x14ac:dyDescent="0.25">
      <c r="A52" s="6"/>
      <c r="B52" s="17" t="s">
        <v>47</v>
      </c>
      <c r="C52" s="8" t="s">
        <v>4</v>
      </c>
      <c r="D52" s="9">
        <v>2</v>
      </c>
      <c r="E52" s="10">
        <v>195200</v>
      </c>
      <c r="F52" s="10">
        <f t="shared" si="3"/>
        <v>390400</v>
      </c>
    </row>
    <row r="53" spans="1:6" ht="33.75" x14ac:dyDescent="0.25">
      <c r="A53" s="6"/>
      <c r="B53" s="17" t="s">
        <v>48</v>
      </c>
      <c r="C53" s="8" t="s">
        <v>16</v>
      </c>
      <c r="D53" s="9">
        <v>8</v>
      </c>
      <c r="E53" s="10">
        <v>39180</v>
      </c>
      <c r="F53" s="10">
        <f t="shared" si="3"/>
        <v>313440</v>
      </c>
    </row>
    <row r="54" spans="1:6" ht="33.75" x14ac:dyDescent="0.25">
      <c r="A54" s="6"/>
      <c r="B54" s="17" t="s">
        <v>49</v>
      </c>
      <c r="C54" s="8" t="s">
        <v>16</v>
      </c>
      <c r="D54" s="9">
        <v>10</v>
      </c>
      <c r="E54" s="10">
        <v>33400</v>
      </c>
      <c r="F54" s="10">
        <f t="shared" si="3"/>
        <v>334000</v>
      </c>
    </row>
    <row r="55" spans="1:6" ht="22.5" x14ac:dyDescent="0.25">
      <c r="A55" s="6"/>
      <c r="B55" s="17" t="s">
        <v>50</v>
      </c>
      <c r="C55" s="8" t="s">
        <v>4</v>
      </c>
      <c r="D55" s="9">
        <v>12</v>
      </c>
      <c r="E55" s="10">
        <v>65020</v>
      </c>
      <c r="F55" s="10">
        <f t="shared" si="3"/>
        <v>780240</v>
      </c>
    </row>
    <row r="56" spans="1:6" ht="22.5" x14ac:dyDescent="0.25">
      <c r="A56" s="6"/>
      <c r="B56" s="17" t="s">
        <v>51</v>
      </c>
      <c r="C56" s="8" t="s">
        <v>4</v>
      </c>
      <c r="D56" s="9">
        <v>15</v>
      </c>
      <c r="E56" s="10">
        <v>52800</v>
      </c>
      <c r="F56" s="10">
        <f t="shared" si="3"/>
        <v>792000</v>
      </c>
    </row>
    <row r="57" spans="1:6" ht="168.75" x14ac:dyDescent="0.25">
      <c r="A57" s="6"/>
      <c r="B57" s="17" t="s">
        <v>52</v>
      </c>
      <c r="C57" s="8" t="s">
        <v>4</v>
      </c>
      <c r="D57" s="9">
        <v>4</v>
      </c>
      <c r="E57" s="10">
        <v>84900</v>
      </c>
      <c r="F57" s="10">
        <f t="shared" si="3"/>
        <v>339600</v>
      </c>
    </row>
    <row r="58" spans="1:6" ht="101.25" x14ac:dyDescent="0.25">
      <c r="A58" s="6"/>
      <c r="B58" s="17" t="s">
        <v>53</v>
      </c>
      <c r="C58" s="8" t="s">
        <v>4</v>
      </c>
      <c r="D58" s="9">
        <v>5</v>
      </c>
      <c r="E58" s="10">
        <v>52800</v>
      </c>
      <c r="F58" s="10">
        <f>D58*E58</f>
        <v>264000</v>
      </c>
    </row>
    <row r="59" spans="1:6" ht="90" x14ac:dyDescent="0.25">
      <c r="A59" s="6"/>
      <c r="B59" s="17" t="s">
        <v>54</v>
      </c>
      <c r="C59" s="8" t="s">
        <v>4</v>
      </c>
      <c r="D59" s="9">
        <v>4</v>
      </c>
      <c r="E59" s="10">
        <v>58900</v>
      </c>
      <c r="F59" s="10">
        <f t="shared" si="3"/>
        <v>235600</v>
      </c>
    </row>
    <row r="60" spans="1:6" ht="67.5" x14ac:dyDescent="0.25">
      <c r="A60" s="6"/>
      <c r="B60" s="17" t="s">
        <v>55</v>
      </c>
      <c r="C60" s="8" t="s">
        <v>4</v>
      </c>
      <c r="D60" s="9">
        <v>2</v>
      </c>
      <c r="E60" s="10">
        <v>88900</v>
      </c>
      <c r="F60" s="10">
        <f t="shared" si="3"/>
        <v>177800</v>
      </c>
    </row>
    <row r="61" spans="1:6" ht="157.5" x14ac:dyDescent="0.25">
      <c r="A61" s="6"/>
      <c r="B61" s="17" t="s">
        <v>56</v>
      </c>
      <c r="C61" s="8" t="s">
        <v>4</v>
      </c>
      <c r="D61" s="9">
        <v>1</v>
      </c>
      <c r="E61" s="10">
        <v>75800</v>
      </c>
      <c r="F61" s="10">
        <f t="shared" si="3"/>
        <v>75800</v>
      </c>
    </row>
    <row r="62" spans="1:6" ht="146.25" x14ac:dyDescent="0.25">
      <c r="A62" s="6"/>
      <c r="B62" s="17" t="s">
        <v>57</v>
      </c>
      <c r="C62" s="8" t="s">
        <v>4</v>
      </c>
      <c r="D62" s="9">
        <v>1</v>
      </c>
      <c r="E62" s="10">
        <v>745900</v>
      </c>
      <c r="F62" s="10">
        <f t="shared" si="3"/>
        <v>745900</v>
      </c>
    </row>
    <row r="63" spans="1:6" ht="157.5" x14ac:dyDescent="0.25">
      <c r="A63" s="6"/>
      <c r="B63" s="17" t="s">
        <v>58</v>
      </c>
      <c r="C63" s="8" t="s">
        <v>4</v>
      </c>
      <c r="D63" s="9">
        <v>2</v>
      </c>
      <c r="E63" s="10">
        <v>785800</v>
      </c>
      <c r="F63" s="10">
        <f t="shared" si="3"/>
        <v>1571600</v>
      </c>
    </row>
    <row r="64" spans="1:6" ht="123.75" x14ac:dyDescent="0.25">
      <c r="A64" s="6"/>
      <c r="B64" s="17" t="s">
        <v>59</v>
      </c>
      <c r="C64" s="8" t="s">
        <v>4</v>
      </c>
      <c r="D64" s="9">
        <v>1</v>
      </c>
      <c r="E64" s="10">
        <v>458900</v>
      </c>
      <c r="F64" s="10">
        <f t="shared" si="3"/>
        <v>458900</v>
      </c>
    </row>
    <row r="65" spans="1:6" ht="45" x14ac:dyDescent="0.25">
      <c r="A65" s="6"/>
      <c r="B65" s="17" t="s">
        <v>60</v>
      </c>
      <c r="C65" s="8" t="s">
        <v>4</v>
      </c>
      <c r="D65" s="9">
        <v>1</v>
      </c>
      <c r="E65" s="10">
        <v>78900</v>
      </c>
      <c r="F65" s="10">
        <f t="shared" si="3"/>
        <v>78900</v>
      </c>
    </row>
    <row r="66" spans="1:6" ht="23.25" x14ac:dyDescent="0.25">
      <c r="A66" s="1">
        <v>7</v>
      </c>
      <c r="B66" s="12" t="s">
        <v>61</v>
      </c>
      <c r="C66" s="13"/>
      <c r="D66" s="13"/>
      <c r="E66" s="14"/>
      <c r="F66" s="5">
        <f>SUM(F67:F102)</f>
        <v>19597548</v>
      </c>
    </row>
    <row r="67" spans="1:6" ht="22.5" x14ac:dyDescent="0.25">
      <c r="A67" s="6"/>
      <c r="B67" s="17" t="s">
        <v>62</v>
      </c>
      <c r="C67" s="8" t="s">
        <v>63</v>
      </c>
      <c r="D67" s="9">
        <v>4</v>
      </c>
      <c r="E67" s="10">
        <v>95080.000000000015</v>
      </c>
      <c r="F67" s="10">
        <f t="shared" ref="F67:F102" si="4">D67*E67</f>
        <v>380320.00000000006</v>
      </c>
    </row>
    <row r="68" spans="1:6" ht="33.75" x14ac:dyDescent="0.25">
      <c r="A68" s="6"/>
      <c r="B68" s="17" t="s">
        <v>64</v>
      </c>
      <c r="C68" s="8" t="s">
        <v>63</v>
      </c>
      <c r="D68" s="9">
        <v>3</v>
      </c>
      <c r="E68" s="10">
        <v>95080.000000000015</v>
      </c>
      <c r="F68" s="10">
        <f t="shared" si="4"/>
        <v>285240.00000000006</v>
      </c>
    </row>
    <row r="69" spans="1:6" ht="33.75" x14ac:dyDescent="0.25">
      <c r="A69" s="6"/>
      <c r="B69" s="17" t="s">
        <v>65</v>
      </c>
      <c r="C69" s="8" t="s">
        <v>63</v>
      </c>
      <c r="D69" s="9">
        <v>2</v>
      </c>
      <c r="E69" s="10">
        <v>95080.000000000015</v>
      </c>
      <c r="F69" s="10">
        <f t="shared" si="4"/>
        <v>190160.00000000003</v>
      </c>
    </row>
    <row r="70" spans="1:6" ht="22.5" x14ac:dyDescent="0.25">
      <c r="A70" s="6"/>
      <c r="B70" s="17" t="s">
        <v>66</v>
      </c>
      <c r="C70" s="8" t="s">
        <v>63</v>
      </c>
      <c r="D70" s="9">
        <v>1</v>
      </c>
      <c r="E70" s="10">
        <v>95080.000000000015</v>
      </c>
      <c r="F70" s="10">
        <f t="shared" si="4"/>
        <v>95080.000000000015</v>
      </c>
    </row>
    <row r="71" spans="1:6" ht="22.5" x14ac:dyDescent="0.25">
      <c r="A71" s="6"/>
      <c r="B71" s="17" t="s">
        <v>67</v>
      </c>
      <c r="C71" s="8" t="s">
        <v>63</v>
      </c>
      <c r="D71" s="9">
        <v>4</v>
      </c>
      <c r="E71" s="10">
        <v>95080.000000000015</v>
      </c>
      <c r="F71" s="10">
        <f t="shared" si="4"/>
        <v>380320.00000000006</v>
      </c>
    </row>
    <row r="72" spans="1:6" ht="22.5" x14ac:dyDescent="0.25">
      <c r="A72" s="6"/>
      <c r="B72" s="17" t="s">
        <v>68</v>
      </c>
      <c r="C72" s="8" t="s">
        <v>63</v>
      </c>
      <c r="D72" s="9">
        <v>6</v>
      </c>
      <c r="E72" s="10">
        <v>95080.000000000015</v>
      </c>
      <c r="F72" s="10">
        <f t="shared" si="4"/>
        <v>570480.00000000012</v>
      </c>
    </row>
    <row r="73" spans="1:6" ht="33.75" x14ac:dyDescent="0.25">
      <c r="A73" s="6"/>
      <c r="B73" s="17" t="s">
        <v>69</v>
      </c>
      <c r="C73" s="8" t="s">
        <v>63</v>
      </c>
      <c r="D73" s="9">
        <v>3</v>
      </c>
      <c r="E73" s="10">
        <v>95080.000000000015</v>
      </c>
      <c r="F73" s="10">
        <f t="shared" si="4"/>
        <v>285240.00000000006</v>
      </c>
    </row>
    <row r="74" spans="1:6" ht="157.5" x14ac:dyDescent="0.25">
      <c r="A74" s="6"/>
      <c r="B74" s="17" t="s">
        <v>70</v>
      </c>
      <c r="C74" s="8" t="s">
        <v>63</v>
      </c>
      <c r="D74" s="9">
        <v>3</v>
      </c>
      <c r="E74" s="10">
        <v>132656</v>
      </c>
      <c r="F74" s="10">
        <f t="shared" si="4"/>
        <v>397968</v>
      </c>
    </row>
    <row r="75" spans="1:6" ht="180" x14ac:dyDescent="0.25">
      <c r="A75" s="6"/>
      <c r="B75" s="17" t="s">
        <v>71</v>
      </c>
      <c r="C75" s="8" t="s">
        <v>63</v>
      </c>
      <c r="D75" s="9">
        <v>14</v>
      </c>
      <c r="E75" s="10">
        <v>130256</v>
      </c>
      <c r="F75" s="10">
        <f t="shared" si="4"/>
        <v>1823584</v>
      </c>
    </row>
    <row r="76" spans="1:6" ht="180" x14ac:dyDescent="0.25">
      <c r="A76" s="6"/>
      <c r="B76" s="17" t="s">
        <v>72</v>
      </c>
      <c r="C76" s="8" t="s">
        <v>63</v>
      </c>
      <c r="D76" s="9">
        <v>8</v>
      </c>
      <c r="E76" s="10">
        <v>186632.00000000003</v>
      </c>
      <c r="F76" s="10">
        <f t="shared" si="4"/>
        <v>1493056.0000000002</v>
      </c>
    </row>
    <row r="77" spans="1:6" ht="33.75" x14ac:dyDescent="0.25">
      <c r="A77" s="6"/>
      <c r="B77" s="17" t="s">
        <v>73</v>
      </c>
      <c r="C77" s="8" t="s">
        <v>63</v>
      </c>
      <c r="D77" s="9">
        <v>1</v>
      </c>
      <c r="E77" s="10">
        <v>118256</v>
      </c>
      <c r="F77" s="10">
        <f t="shared" si="4"/>
        <v>118256</v>
      </c>
    </row>
    <row r="78" spans="1:6" ht="22.5" x14ac:dyDescent="0.25">
      <c r="A78" s="6"/>
      <c r="B78" s="17" t="s">
        <v>74</v>
      </c>
      <c r="C78" s="8" t="s">
        <v>63</v>
      </c>
      <c r="D78" s="9">
        <v>3</v>
      </c>
      <c r="E78" s="10">
        <v>107456</v>
      </c>
      <c r="F78" s="10">
        <f t="shared" si="4"/>
        <v>322368</v>
      </c>
    </row>
    <row r="79" spans="1:6" ht="135" x14ac:dyDescent="0.25">
      <c r="A79" s="6"/>
      <c r="B79" s="17" t="s">
        <v>75</v>
      </c>
      <c r="C79" s="8" t="s">
        <v>63</v>
      </c>
      <c r="D79" s="9">
        <v>9</v>
      </c>
      <c r="E79" s="10">
        <v>132656</v>
      </c>
      <c r="F79" s="10">
        <f t="shared" si="4"/>
        <v>1193904</v>
      </c>
    </row>
    <row r="80" spans="1:6" ht="135" x14ac:dyDescent="0.25">
      <c r="A80" s="6"/>
      <c r="B80" s="17" t="s">
        <v>76</v>
      </c>
      <c r="C80" s="8" t="s">
        <v>63</v>
      </c>
      <c r="D80" s="9">
        <v>1</v>
      </c>
      <c r="E80" s="10">
        <v>181376.00000000003</v>
      </c>
      <c r="F80" s="10">
        <f t="shared" si="4"/>
        <v>181376.00000000003</v>
      </c>
    </row>
    <row r="81" spans="1:6" ht="123.75" x14ac:dyDescent="0.25">
      <c r="A81" s="15"/>
      <c r="B81" s="17" t="s">
        <v>77</v>
      </c>
      <c r="C81" s="8" t="s">
        <v>63</v>
      </c>
      <c r="D81" s="9">
        <v>3</v>
      </c>
      <c r="E81" s="18">
        <v>138536</v>
      </c>
      <c r="F81" s="10">
        <f t="shared" si="4"/>
        <v>415608</v>
      </c>
    </row>
    <row r="82" spans="1:6" ht="135" x14ac:dyDescent="0.25">
      <c r="A82" s="6"/>
      <c r="B82" s="17" t="s">
        <v>78</v>
      </c>
      <c r="C82" s="8" t="s">
        <v>63</v>
      </c>
      <c r="D82" s="9">
        <v>1</v>
      </c>
      <c r="E82" s="10">
        <v>247376</v>
      </c>
      <c r="F82" s="10">
        <f t="shared" si="4"/>
        <v>247376</v>
      </c>
    </row>
    <row r="83" spans="1:6" ht="101.25" x14ac:dyDescent="0.25">
      <c r="A83" s="6"/>
      <c r="B83" s="17" t="s">
        <v>79</v>
      </c>
      <c r="C83" s="8" t="s">
        <v>63</v>
      </c>
      <c r="D83" s="9">
        <v>2</v>
      </c>
      <c r="E83" s="10">
        <v>181376.00000000003</v>
      </c>
      <c r="F83" s="10">
        <f t="shared" si="4"/>
        <v>362752.00000000006</v>
      </c>
    </row>
    <row r="84" spans="1:6" ht="225" x14ac:dyDescent="0.25">
      <c r="A84" s="6"/>
      <c r="B84" s="17" t="s">
        <v>80</v>
      </c>
      <c r="C84" s="8" t="s">
        <v>63</v>
      </c>
      <c r="D84" s="9">
        <v>3</v>
      </c>
      <c r="E84" s="10">
        <v>124680</v>
      </c>
      <c r="F84" s="10">
        <f t="shared" si="4"/>
        <v>374040</v>
      </c>
    </row>
    <row r="85" spans="1:6" ht="78.75" x14ac:dyDescent="0.25">
      <c r="A85" s="6"/>
      <c r="B85" s="17" t="s">
        <v>81</v>
      </c>
      <c r="C85" s="8" t="s">
        <v>63</v>
      </c>
      <c r="D85" s="9">
        <v>23</v>
      </c>
      <c r="E85" s="10">
        <v>15800</v>
      </c>
      <c r="F85" s="10">
        <f t="shared" si="4"/>
        <v>363400</v>
      </c>
    </row>
    <row r="86" spans="1:6" ht="78.75" x14ac:dyDescent="0.25">
      <c r="A86" s="6"/>
      <c r="B86" s="17" t="s">
        <v>82</v>
      </c>
      <c r="C86" s="8" t="s">
        <v>63</v>
      </c>
      <c r="D86" s="9">
        <v>3</v>
      </c>
      <c r="E86" s="10">
        <v>35400</v>
      </c>
      <c r="F86" s="10">
        <f t="shared" si="4"/>
        <v>106200</v>
      </c>
    </row>
    <row r="87" spans="1:6" ht="387.75" x14ac:dyDescent="0.25">
      <c r="A87" s="6"/>
      <c r="B87" s="17" t="s">
        <v>83</v>
      </c>
      <c r="C87" s="8" t="s">
        <v>63</v>
      </c>
      <c r="D87" s="9">
        <v>1</v>
      </c>
      <c r="E87" s="10">
        <v>1140200</v>
      </c>
      <c r="F87" s="10">
        <f t="shared" si="4"/>
        <v>1140200</v>
      </c>
    </row>
    <row r="88" spans="1:6" ht="255" x14ac:dyDescent="0.25">
      <c r="A88" s="6"/>
      <c r="B88" s="17" t="s">
        <v>84</v>
      </c>
      <c r="C88" s="8" t="s">
        <v>63</v>
      </c>
      <c r="D88" s="9">
        <v>1</v>
      </c>
      <c r="E88" s="10">
        <v>645000</v>
      </c>
      <c r="F88" s="10">
        <f t="shared" si="4"/>
        <v>645000</v>
      </c>
    </row>
    <row r="89" spans="1:6" ht="202.5" x14ac:dyDescent="0.25">
      <c r="A89" s="6"/>
      <c r="B89" s="17" t="s">
        <v>85</v>
      </c>
      <c r="C89" s="8" t="s">
        <v>63</v>
      </c>
      <c r="D89" s="9">
        <v>1</v>
      </c>
      <c r="E89" s="10">
        <v>245900</v>
      </c>
      <c r="F89" s="10">
        <f t="shared" si="4"/>
        <v>245900</v>
      </c>
    </row>
    <row r="90" spans="1:6" ht="146.25" x14ac:dyDescent="0.25">
      <c r="A90" s="6"/>
      <c r="B90" s="17" t="s">
        <v>86</v>
      </c>
      <c r="C90" s="8" t="s">
        <v>63</v>
      </c>
      <c r="D90" s="9">
        <v>2</v>
      </c>
      <c r="E90" s="23">
        <v>148680</v>
      </c>
      <c r="F90" s="10">
        <f t="shared" si="4"/>
        <v>297360</v>
      </c>
    </row>
    <row r="91" spans="1:6" ht="146.25" x14ac:dyDescent="0.25">
      <c r="A91" s="6"/>
      <c r="B91" s="17" t="s">
        <v>87</v>
      </c>
      <c r="C91" s="8" t="s">
        <v>63</v>
      </c>
      <c r="D91" s="9">
        <v>1</v>
      </c>
      <c r="E91" s="23">
        <v>79080</v>
      </c>
      <c r="F91" s="10">
        <f t="shared" si="4"/>
        <v>79080</v>
      </c>
    </row>
    <row r="92" spans="1:6" ht="146.25" x14ac:dyDescent="0.25">
      <c r="A92" s="6"/>
      <c r="B92" s="17" t="s">
        <v>88</v>
      </c>
      <c r="C92" s="8" t="s">
        <v>63</v>
      </c>
      <c r="D92" s="9">
        <v>3</v>
      </c>
      <c r="E92" s="23">
        <v>81240</v>
      </c>
      <c r="F92" s="10">
        <f t="shared" si="4"/>
        <v>243720</v>
      </c>
    </row>
    <row r="93" spans="1:6" ht="146.25" x14ac:dyDescent="0.25">
      <c r="A93" s="6"/>
      <c r="B93" s="17" t="s">
        <v>89</v>
      </c>
      <c r="C93" s="8" t="s">
        <v>63</v>
      </c>
      <c r="D93" s="9">
        <v>1</v>
      </c>
      <c r="E93" s="23">
        <v>32280</v>
      </c>
      <c r="F93" s="10">
        <f t="shared" si="4"/>
        <v>32280</v>
      </c>
    </row>
    <row r="94" spans="1:6" ht="146.25" x14ac:dyDescent="0.25">
      <c r="A94" s="6"/>
      <c r="B94" s="17" t="s">
        <v>90</v>
      </c>
      <c r="C94" s="8" t="s">
        <v>63</v>
      </c>
      <c r="D94" s="9">
        <v>14</v>
      </c>
      <c r="E94" s="23">
        <v>28560</v>
      </c>
      <c r="F94" s="10">
        <f t="shared" si="4"/>
        <v>399840</v>
      </c>
    </row>
    <row r="95" spans="1:6" ht="247.5" x14ac:dyDescent="0.25">
      <c r="A95" s="6"/>
      <c r="B95" s="17" t="s">
        <v>91</v>
      </c>
      <c r="C95" s="8" t="s">
        <v>63</v>
      </c>
      <c r="D95" s="9">
        <v>1</v>
      </c>
      <c r="E95" s="10">
        <v>262800</v>
      </c>
      <c r="F95" s="10">
        <f t="shared" si="4"/>
        <v>262800</v>
      </c>
    </row>
    <row r="96" spans="1:6" ht="168.75" x14ac:dyDescent="0.25">
      <c r="A96" s="6"/>
      <c r="B96" s="17" t="s">
        <v>92</v>
      </c>
      <c r="C96" s="8" t="s">
        <v>63</v>
      </c>
      <c r="D96" s="9">
        <v>3</v>
      </c>
      <c r="E96" s="10">
        <v>28560</v>
      </c>
      <c r="F96" s="10">
        <f t="shared" si="4"/>
        <v>85680</v>
      </c>
    </row>
    <row r="97" spans="1:6" ht="67.5" x14ac:dyDescent="0.25">
      <c r="A97" s="6"/>
      <c r="B97" s="17" t="s">
        <v>93</v>
      </c>
      <c r="C97" s="8" t="s">
        <v>63</v>
      </c>
      <c r="D97" s="9">
        <v>3</v>
      </c>
      <c r="E97" s="10">
        <v>135600</v>
      </c>
      <c r="F97" s="10">
        <f t="shared" si="4"/>
        <v>406800</v>
      </c>
    </row>
    <row r="98" spans="1:6" ht="78.75" x14ac:dyDescent="0.25">
      <c r="A98" s="6"/>
      <c r="B98" s="17" t="s">
        <v>94</v>
      </c>
      <c r="C98" s="8" t="s">
        <v>95</v>
      </c>
      <c r="D98" s="9">
        <v>1</v>
      </c>
      <c r="E98" s="10">
        <v>1700000</v>
      </c>
      <c r="F98" s="10">
        <f t="shared" si="4"/>
        <v>1700000</v>
      </c>
    </row>
    <row r="99" spans="1:6" ht="191.25" x14ac:dyDescent="0.25">
      <c r="A99" s="6"/>
      <c r="B99" s="17" t="s">
        <v>96</v>
      </c>
      <c r="C99" s="8" t="s">
        <v>97</v>
      </c>
      <c r="D99" s="9">
        <v>40</v>
      </c>
      <c r="E99" s="10">
        <v>90500</v>
      </c>
      <c r="F99" s="10">
        <f>D99*E99</f>
        <v>3620000</v>
      </c>
    </row>
    <row r="100" spans="1:6" ht="101.25" x14ac:dyDescent="0.25">
      <c r="A100" s="6"/>
      <c r="B100" s="17" t="s">
        <v>98</v>
      </c>
      <c r="C100" s="8" t="s">
        <v>97</v>
      </c>
      <c r="D100" s="9">
        <v>12</v>
      </c>
      <c r="E100" s="10">
        <v>16080</v>
      </c>
      <c r="F100" s="10">
        <f>D100*E100</f>
        <v>192960</v>
      </c>
    </row>
    <row r="101" spans="1:6" x14ac:dyDescent="0.25">
      <c r="A101" s="6"/>
      <c r="B101" s="17" t="s">
        <v>99</v>
      </c>
      <c r="C101" s="8" t="s">
        <v>97</v>
      </c>
      <c r="D101" s="9">
        <v>12</v>
      </c>
      <c r="E101" s="10">
        <v>9850</v>
      </c>
      <c r="F101" s="10">
        <f t="shared" si="4"/>
        <v>118200</v>
      </c>
    </row>
    <row r="102" spans="1:6" x14ac:dyDescent="0.25">
      <c r="A102" s="6"/>
      <c r="B102" s="17" t="s">
        <v>100</v>
      </c>
      <c r="C102" s="8" t="s">
        <v>97</v>
      </c>
      <c r="D102" s="9">
        <v>40</v>
      </c>
      <c r="E102" s="10">
        <v>13524.999999999998</v>
      </c>
      <c r="F102" s="10">
        <f t="shared" si="4"/>
        <v>540999.99999999988</v>
      </c>
    </row>
    <row r="103" spans="1:6" x14ac:dyDescent="0.25">
      <c r="A103" s="1">
        <v>8</v>
      </c>
      <c r="B103" s="12" t="s">
        <v>101</v>
      </c>
      <c r="C103" s="13"/>
      <c r="D103" s="13"/>
      <c r="E103" s="14"/>
      <c r="F103" s="5">
        <f>SUM(F104:F108)</f>
        <v>4454300</v>
      </c>
    </row>
    <row r="104" spans="1:6" ht="90" x14ac:dyDescent="0.25">
      <c r="A104" s="15"/>
      <c r="B104" s="17" t="s">
        <v>102</v>
      </c>
      <c r="C104" s="8" t="s">
        <v>4</v>
      </c>
      <c r="D104" s="9">
        <v>3</v>
      </c>
      <c r="E104" s="19">
        <v>135900</v>
      </c>
      <c r="F104" s="10">
        <f>D104*E104</f>
        <v>407700</v>
      </c>
    </row>
    <row r="105" spans="1:6" ht="146.25" x14ac:dyDescent="0.25">
      <c r="A105" s="6"/>
      <c r="B105" s="17" t="s">
        <v>103</v>
      </c>
      <c r="C105" s="8" t="s">
        <v>4</v>
      </c>
      <c r="D105" s="9">
        <v>2</v>
      </c>
      <c r="E105" s="10">
        <v>358000</v>
      </c>
      <c r="F105" s="10">
        <f>D105*E105</f>
        <v>716000</v>
      </c>
    </row>
    <row r="106" spans="1:6" ht="168.75" x14ac:dyDescent="0.25">
      <c r="A106" s="6"/>
      <c r="B106" s="17" t="s">
        <v>104</v>
      </c>
      <c r="C106" s="8" t="s">
        <v>4</v>
      </c>
      <c r="D106" s="9">
        <v>4</v>
      </c>
      <c r="E106" s="10">
        <v>395000</v>
      </c>
      <c r="F106" s="10">
        <f>D106*E106</f>
        <v>1580000</v>
      </c>
    </row>
    <row r="107" spans="1:6" ht="123.75" x14ac:dyDescent="0.25">
      <c r="A107" s="6"/>
      <c r="B107" s="17" t="s">
        <v>105</v>
      </c>
      <c r="C107" s="8" t="s">
        <v>4</v>
      </c>
      <c r="D107" s="9">
        <v>4</v>
      </c>
      <c r="E107" s="10">
        <v>268300</v>
      </c>
      <c r="F107" s="10">
        <f>D107*E107</f>
        <v>1073200</v>
      </c>
    </row>
    <row r="108" spans="1:6" ht="78.75" x14ac:dyDescent="0.25">
      <c r="A108" s="6"/>
      <c r="B108" s="11" t="s">
        <v>106</v>
      </c>
      <c r="C108" s="21" t="s">
        <v>4</v>
      </c>
      <c r="D108" s="9">
        <v>3</v>
      </c>
      <c r="E108" s="10">
        <v>225800</v>
      </c>
      <c r="F108" s="10">
        <f>D108*E108</f>
        <v>677400</v>
      </c>
    </row>
    <row r="109" spans="1:6" ht="23.25" x14ac:dyDescent="0.25">
      <c r="A109" s="1">
        <v>9</v>
      </c>
      <c r="B109" s="12" t="s">
        <v>107</v>
      </c>
      <c r="C109" s="13"/>
      <c r="D109" s="13"/>
      <c r="E109" s="14"/>
      <c r="F109" s="5">
        <f>SUM(F110:F115)</f>
        <v>2426020</v>
      </c>
    </row>
    <row r="110" spans="1:6" ht="180.75" x14ac:dyDescent="0.25">
      <c r="A110" s="15"/>
      <c r="B110" s="20" t="s">
        <v>108</v>
      </c>
      <c r="C110" s="8" t="s">
        <v>109</v>
      </c>
      <c r="D110" s="24">
        <v>2</v>
      </c>
      <c r="E110" s="18">
        <v>435900</v>
      </c>
      <c r="F110" s="10">
        <f t="shared" ref="F110:F115" si="5">D110*E110</f>
        <v>871800</v>
      </c>
    </row>
    <row r="111" spans="1:6" ht="68.25" x14ac:dyDescent="0.25">
      <c r="A111" s="6"/>
      <c r="B111" s="20" t="s">
        <v>110</v>
      </c>
      <c r="C111" s="8" t="s">
        <v>109</v>
      </c>
      <c r="D111" s="24">
        <v>1</v>
      </c>
      <c r="E111" s="18">
        <v>395900</v>
      </c>
      <c r="F111" s="10">
        <f t="shared" si="5"/>
        <v>395900</v>
      </c>
    </row>
    <row r="112" spans="1:6" ht="102" x14ac:dyDescent="0.25">
      <c r="A112" s="15"/>
      <c r="B112" s="20" t="s">
        <v>111</v>
      </c>
      <c r="C112" s="8" t="s">
        <v>109</v>
      </c>
      <c r="D112" s="24">
        <v>2</v>
      </c>
      <c r="E112" s="18">
        <v>325800</v>
      </c>
      <c r="F112" s="10">
        <f t="shared" si="5"/>
        <v>651600</v>
      </c>
    </row>
    <row r="113" spans="1:6" ht="79.5" x14ac:dyDescent="0.25">
      <c r="A113" s="6"/>
      <c r="B113" s="20" t="s">
        <v>112</v>
      </c>
      <c r="C113" s="8" t="s">
        <v>113</v>
      </c>
      <c r="D113" s="24">
        <v>14</v>
      </c>
      <c r="E113" s="10">
        <v>22380</v>
      </c>
      <c r="F113" s="10">
        <f t="shared" si="5"/>
        <v>313320</v>
      </c>
    </row>
    <row r="114" spans="1:6" ht="57" x14ac:dyDescent="0.25">
      <c r="A114" s="15"/>
      <c r="B114" s="20" t="s">
        <v>114</v>
      </c>
      <c r="C114" s="8" t="s">
        <v>113</v>
      </c>
      <c r="D114" s="24">
        <v>22</v>
      </c>
      <c r="E114" s="18">
        <v>4800</v>
      </c>
      <c r="F114" s="10">
        <f t="shared" si="5"/>
        <v>105600</v>
      </c>
    </row>
    <row r="115" spans="1:6" ht="124.5" x14ac:dyDescent="0.25">
      <c r="A115" s="6"/>
      <c r="B115" s="20" t="s">
        <v>115</v>
      </c>
      <c r="C115" s="8" t="s">
        <v>109</v>
      </c>
      <c r="D115" s="24">
        <v>2</v>
      </c>
      <c r="E115" s="18">
        <v>43900</v>
      </c>
      <c r="F115" s="10">
        <f t="shared" si="5"/>
        <v>87800</v>
      </c>
    </row>
    <row r="116" spans="1:6" ht="23.25" x14ac:dyDescent="0.25">
      <c r="A116" s="1">
        <v>10</v>
      </c>
      <c r="B116" s="12" t="s">
        <v>116</v>
      </c>
      <c r="C116" s="13"/>
      <c r="D116" s="13"/>
      <c r="E116" s="14"/>
      <c r="F116" s="5">
        <f>SUM(F117:F126)</f>
        <v>2043700</v>
      </c>
    </row>
    <row r="117" spans="1:6" ht="57" x14ac:dyDescent="0.25">
      <c r="A117" s="15"/>
      <c r="B117" s="20" t="s">
        <v>117</v>
      </c>
      <c r="C117" s="8" t="s">
        <v>97</v>
      </c>
      <c r="D117" s="24">
        <v>6</v>
      </c>
      <c r="E117" s="18">
        <v>148300</v>
      </c>
      <c r="F117" s="10">
        <f t="shared" ref="F117:F125" si="6">D117*E117</f>
        <v>889800</v>
      </c>
    </row>
    <row r="118" spans="1:6" ht="45.75" x14ac:dyDescent="0.25">
      <c r="A118" s="6"/>
      <c r="B118" s="20" t="s">
        <v>118</v>
      </c>
      <c r="C118" s="8" t="s">
        <v>63</v>
      </c>
      <c r="D118" s="24">
        <v>4</v>
      </c>
      <c r="E118" s="18">
        <v>58900</v>
      </c>
      <c r="F118" s="10">
        <f t="shared" si="6"/>
        <v>235600</v>
      </c>
    </row>
    <row r="119" spans="1:6" ht="45.75" x14ac:dyDescent="0.25">
      <c r="A119" s="15"/>
      <c r="B119" s="20" t="s">
        <v>119</v>
      </c>
      <c r="C119" s="8" t="s">
        <v>63</v>
      </c>
      <c r="D119" s="24">
        <v>4</v>
      </c>
      <c r="E119" s="18">
        <v>67800</v>
      </c>
      <c r="F119" s="10">
        <f>D119*E119</f>
        <v>271200</v>
      </c>
    </row>
    <row r="120" spans="1:6" ht="79.5" x14ac:dyDescent="0.25">
      <c r="A120" s="6"/>
      <c r="B120" s="20" t="s">
        <v>120</v>
      </c>
      <c r="C120" s="8" t="s">
        <v>63</v>
      </c>
      <c r="D120" s="24">
        <v>2</v>
      </c>
      <c r="E120" s="18">
        <v>95300</v>
      </c>
      <c r="F120" s="10">
        <f>D120*E120</f>
        <v>190600</v>
      </c>
    </row>
    <row r="121" spans="1:6" ht="23.25" x14ac:dyDescent="0.25">
      <c r="A121" s="15"/>
      <c r="B121" s="20" t="s">
        <v>121</v>
      </c>
      <c r="C121" s="8" t="s">
        <v>63</v>
      </c>
      <c r="D121" s="24">
        <v>2</v>
      </c>
      <c r="E121" s="18">
        <v>31300</v>
      </c>
      <c r="F121" s="10">
        <f>D121*E121</f>
        <v>62600</v>
      </c>
    </row>
    <row r="122" spans="1:6" ht="90.75" x14ac:dyDescent="0.25">
      <c r="A122" s="15"/>
      <c r="B122" s="20" t="s">
        <v>122</v>
      </c>
      <c r="C122" s="8" t="s">
        <v>63</v>
      </c>
      <c r="D122" s="24">
        <v>2</v>
      </c>
      <c r="E122" s="18">
        <v>75400</v>
      </c>
      <c r="F122" s="10">
        <f t="shared" si="6"/>
        <v>150800</v>
      </c>
    </row>
    <row r="123" spans="1:6" ht="45.75" x14ac:dyDescent="0.25">
      <c r="A123" s="6"/>
      <c r="B123" s="20" t="s">
        <v>123</v>
      </c>
      <c r="C123" s="8" t="s">
        <v>63</v>
      </c>
      <c r="D123" s="24">
        <v>2</v>
      </c>
      <c r="E123" s="18">
        <v>45800</v>
      </c>
      <c r="F123" s="10">
        <f t="shared" si="6"/>
        <v>91600</v>
      </c>
    </row>
    <row r="124" spans="1:6" ht="23.25" x14ac:dyDescent="0.25">
      <c r="A124" s="15"/>
      <c r="B124" s="20" t="s">
        <v>124</v>
      </c>
      <c r="C124" s="8" t="s">
        <v>63</v>
      </c>
      <c r="D124" s="24">
        <v>2</v>
      </c>
      <c r="E124" s="18">
        <v>15800</v>
      </c>
      <c r="F124" s="10">
        <f t="shared" si="6"/>
        <v>31600</v>
      </c>
    </row>
    <row r="125" spans="1:6" x14ac:dyDescent="0.25">
      <c r="A125" s="6"/>
      <c r="B125" s="20" t="s">
        <v>125</v>
      </c>
      <c r="C125" s="8" t="s">
        <v>63</v>
      </c>
      <c r="D125" s="24">
        <v>4</v>
      </c>
      <c r="E125" s="18">
        <v>18800</v>
      </c>
      <c r="F125" s="10">
        <f t="shared" si="6"/>
        <v>75200</v>
      </c>
    </row>
    <row r="126" spans="1:6" ht="34.5" x14ac:dyDescent="0.25">
      <c r="A126" s="15"/>
      <c r="B126" s="20" t="s">
        <v>126</v>
      </c>
      <c r="C126" s="8" t="s">
        <v>97</v>
      </c>
      <c r="D126" s="24">
        <v>3</v>
      </c>
      <c r="E126" s="18">
        <v>14900</v>
      </c>
      <c r="F126" s="10">
        <f>D126*E126</f>
        <v>44700</v>
      </c>
    </row>
    <row r="127" spans="1:6" ht="22.5" x14ac:dyDescent="0.25">
      <c r="A127" s="25">
        <v>11</v>
      </c>
      <c r="B127" s="26" t="s">
        <v>127</v>
      </c>
      <c r="C127" s="27"/>
      <c r="D127" s="27"/>
      <c r="E127" s="28"/>
      <c r="F127" s="29">
        <f>SUM(F128:F139)</f>
        <v>6678350</v>
      </c>
    </row>
    <row r="128" spans="1:6" ht="112.5" x14ac:dyDescent="0.25">
      <c r="A128" s="6"/>
      <c r="B128" s="17" t="s">
        <v>128</v>
      </c>
      <c r="C128" s="17" t="s">
        <v>63</v>
      </c>
      <c r="D128" s="9">
        <v>4</v>
      </c>
      <c r="E128" s="23">
        <v>242000</v>
      </c>
      <c r="F128" s="10">
        <f t="shared" ref="F128:F139" si="7">D128*E128</f>
        <v>968000</v>
      </c>
    </row>
    <row r="129" spans="1:6" ht="112.5" x14ac:dyDescent="0.25">
      <c r="A129" s="6"/>
      <c r="B129" s="17" t="s">
        <v>129</v>
      </c>
      <c r="C129" s="17" t="s">
        <v>63</v>
      </c>
      <c r="D129" s="9">
        <v>3</v>
      </c>
      <c r="E129" s="23">
        <v>143200</v>
      </c>
      <c r="F129" s="10">
        <f t="shared" si="7"/>
        <v>429600</v>
      </c>
    </row>
    <row r="130" spans="1:6" ht="135" x14ac:dyDescent="0.25">
      <c r="A130" s="6"/>
      <c r="B130" s="17" t="s">
        <v>130</v>
      </c>
      <c r="C130" s="17" t="s">
        <v>63</v>
      </c>
      <c r="D130" s="9">
        <v>1</v>
      </c>
      <c r="E130" s="23">
        <v>895600</v>
      </c>
      <c r="F130" s="10">
        <f t="shared" si="7"/>
        <v>895600</v>
      </c>
    </row>
    <row r="131" spans="1:6" ht="56.25" x14ac:dyDescent="0.25">
      <c r="A131" s="6"/>
      <c r="B131" s="17" t="s">
        <v>131</v>
      </c>
      <c r="C131" s="17" t="s">
        <v>63</v>
      </c>
      <c r="D131" s="9">
        <v>1</v>
      </c>
      <c r="E131" s="30">
        <v>385900</v>
      </c>
      <c r="F131" s="10">
        <f>D131*E131</f>
        <v>385900</v>
      </c>
    </row>
    <row r="132" spans="1:6" ht="45" x14ac:dyDescent="0.25">
      <c r="A132" s="6"/>
      <c r="B132" s="17" t="s">
        <v>132</v>
      </c>
      <c r="C132" s="17" t="s">
        <v>63</v>
      </c>
      <c r="D132" s="9">
        <v>22</v>
      </c>
      <c r="E132" s="30">
        <v>28700</v>
      </c>
      <c r="F132" s="10">
        <f>D132*E132</f>
        <v>631400</v>
      </c>
    </row>
    <row r="133" spans="1:6" ht="78.75" x14ac:dyDescent="0.25">
      <c r="A133" s="6"/>
      <c r="B133" s="17" t="s">
        <v>133</v>
      </c>
      <c r="C133" s="17" t="s">
        <v>63</v>
      </c>
      <c r="D133" s="9">
        <v>11</v>
      </c>
      <c r="E133" s="30">
        <v>18500</v>
      </c>
      <c r="F133" s="10">
        <f>D133*E133</f>
        <v>203500</v>
      </c>
    </row>
    <row r="134" spans="1:6" ht="78.75" x14ac:dyDescent="0.25">
      <c r="A134" s="6"/>
      <c r="B134" s="17" t="s">
        <v>134</v>
      </c>
      <c r="C134" s="17" t="s">
        <v>63</v>
      </c>
      <c r="D134" s="9">
        <v>11</v>
      </c>
      <c r="E134" s="30">
        <v>22800</v>
      </c>
      <c r="F134" s="10">
        <f t="shared" si="7"/>
        <v>250800</v>
      </c>
    </row>
    <row r="135" spans="1:6" ht="78.75" x14ac:dyDescent="0.25">
      <c r="A135" s="6"/>
      <c r="B135" s="17" t="s">
        <v>135</v>
      </c>
      <c r="C135" s="17" t="s">
        <v>63</v>
      </c>
      <c r="D135" s="9">
        <v>11</v>
      </c>
      <c r="E135" s="30">
        <v>35400</v>
      </c>
      <c r="F135" s="10">
        <f t="shared" si="7"/>
        <v>389400</v>
      </c>
    </row>
    <row r="136" spans="1:6" ht="112.5" x14ac:dyDescent="0.25">
      <c r="A136" s="6"/>
      <c r="B136" s="17" t="s">
        <v>136</v>
      </c>
      <c r="C136" s="17" t="s">
        <v>63</v>
      </c>
      <c r="D136" s="9">
        <v>1</v>
      </c>
      <c r="E136" s="10">
        <v>1329750</v>
      </c>
      <c r="F136" s="10">
        <f t="shared" si="7"/>
        <v>1329750</v>
      </c>
    </row>
    <row r="137" spans="1:6" ht="123.75" x14ac:dyDescent="0.25">
      <c r="A137" s="6"/>
      <c r="B137" s="17" t="s">
        <v>137</v>
      </c>
      <c r="C137" s="17" t="s">
        <v>63</v>
      </c>
      <c r="D137" s="9">
        <v>1</v>
      </c>
      <c r="E137" s="10">
        <v>285000</v>
      </c>
      <c r="F137" s="10">
        <f t="shared" si="7"/>
        <v>285000</v>
      </c>
    </row>
    <row r="138" spans="1:6" ht="45" x14ac:dyDescent="0.25">
      <c r="A138" s="6"/>
      <c r="B138" s="17" t="s">
        <v>138</v>
      </c>
      <c r="C138" s="17" t="s">
        <v>63</v>
      </c>
      <c r="D138" s="9">
        <v>2</v>
      </c>
      <c r="E138" s="30">
        <v>65300</v>
      </c>
      <c r="F138" s="10">
        <f t="shared" si="7"/>
        <v>130600</v>
      </c>
    </row>
    <row r="139" spans="1:6" ht="45" x14ac:dyDescent="0.25">
      <c r="A139" s="6"/>
      <c r="B139" s="17" t="s">
        <v>139</v>
      </c>
      <c r="C139" s="17" t="s">
        <v>63</v>
      </c>
      <c r="D139" s="9">
        <v>22</v>
      </c>
      <c r="E139" s="30">
        <v>35400</v>
      </c>
      <c r="F139" s="10">
        <f t="shared" si="7"/>
        <v>778800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Riveros</dc:creator>
  <cp:lastModifiedBy>Laura Riveros</cp:lastModifiedBy>
  <dcterms:created xsi:type="dcterms:W3CDTF">2026-06-04T01:51:36Z</dcterms:created>
  <dcterms:modified xsi:type="dcterms:W3CDTF">2026-06-07T03:57:50Z</dcterms:modified>
</cp:coreProperties>
</file>