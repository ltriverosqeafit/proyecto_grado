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029848D8-BFC5-47C4-8CA2-EE54B01FE0FB}" xr6:coauthVersionLast="47" xr6:coauthVersionMax="47" xr10:uidLastSave="{00000000-0000-0000-0000-000000000000}"/>
  <bookViews>
    <workbookView xWindow="-120" yWindow="-120" windowWidth="29040" windowHeight="15720" xr2:uid="{CCF80E93-7B53-4BEC-B571-F05BEA3925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2" i="1" l="1"/>
  <c r="D131" i="1"/>
  <c r="F130" i="1"/>
  <c r="E130" i="1"/>
  <c r="E129" i="1"/>
  <c r="E128" i="1"/>
  <c r="E127" i="1"/>
  <c r="D127" i="1"/>
  <c r="D125" i="1"/>
  <c r="D124" i="1"/>
  <c r="D123" i="1"/>
  <c r="F122" i="1"/>
  <c r="F121" i="1"/>
  <c r="F118" i="1"/>
  <c r="F117" i="1"/>
  <c r="F116" i="1"/>
  <c r="E115" i="1"/>
  <c r="D115" i="1"/>
  <c r="F112" i="1"/>
  <c r="F111" i="1"/>
  <c r="F108" i="1"/>
  <c r="F105" i="1"/>
  <c r="F104" i="1"/>
  <c r="F103" i="1"/>
  <c r="F102" i="1"/>
  <c r="F98" i="1"/>
  <c r="F97" i="1"/>
  <c r="F94" i="1"/>
  <c r="F93" i="1"/>
  <c r="F92" i="1"/>
  <c r="F90" i="1"/>
  <c r="F89" i="1"/>
  <c r="F88" i="1"/>
  <c r="F87" i="1"/>
  <c r="F86" i="1"/>
  <c r="F85" i="1"/>
  <c r="F84" i="1"/>
  <c r="F83" i="1"/>
  <c r="F79" i="1"/>
  <c r="F76" i="1"/>
  <c r="F74" i="1"/>
  <c r="F73" i="1"/>
  <c r="F67" i="1"/>
  <c r="D67" i="1"/>
  <c r="F66" i="1"/>
  <c r="D65" i="1"/>
  <c r="D64" i="1"/>
  <c r="D63" i="1"/>
  <c r="D62" i="1"/>
  <c r="F61" i="1"/>
  <c r="D60" i="1"/>
  <c r="F59" i="1"/>
  <c r="D58" i="1"/>
  <c r="D57" i="1"/>
  <c r="F54" i="1"/>
  <c r="F53" i="1"/>
  <c r="F52" i="1"/>
  <c r="F51" i="1"/>
  <c r="F50" i="1"/>
  <c r="F49" i="1"/>
  <c r="F48" i="1"/>
  <c r="F47" i="1"/>
  <c r="F46" i="1"/>
  <c r="F45" i="1"/>
  <c r="F44" i="1"/>
  <c r="F39" i="1"/>
  <c r="F38" i="1"/>
  <c r="F37" i="1"/>
  <c r="F34" i="1"/>
  <c r="F33" i="1"/>
  <c r="D32" i="1"/>
  <c r="F31" i="1"/>
  <c r="D30" i="1"/>
  <c r="F29" i="1"/>
  <c r="F28" i="1"/>
  <c r="D27" i="1"/>
  <c r="F26" i="1"/>
  <c r="F25" i="1"/>
  <c r="D24" i="1"/>
  <c r="E21" i="1"/>
  <c r="D21" i="1"/>
  <c r="D20" i="1"/>
  <c r="E19" i="1"/>
  <c r="D19" i="1"/>
  <c r="D18" i="1"/>
  <c r="F15" i="1"/>
  <c r="E15" i="1"/>
  <c r="F14" i="1"/>
  <c r="F13" i="1"/>
  <c r="F12" i="1"/>
  <c r="F11" i="1"/>
  <c r="F10" i="1"/>
  <c r="F9" i="1"/>
  <c r="F8" i="1"/>
  <c r="F7" i="1"/>
  <c r="F6" i="1"/>
  <c r="F5" i="1"/>
  <c r="F4" i="1"/>
  <c r="F3" i="1"/>
  <c r="F115" i="1" l="1"/>
  <c r="F24" i="1"/>
  <c r="F21" i="1"/>
  <c r="F20" i="1"/>
  <c r="F19" i="1"/>
  <c r="F132" i="1"/>
  <c r="F131" i="1"/>
  <c r="F129" i="1"/>
  <c r="F128" i="1"/>
  <c r="F127" i="1"/>
  <c r="F125" i="1"/>
  <c r="F65" i="1"/>
  <c r="F64" i="1"/>
  <c r="F63" i="1"/>
  <c r="F62" i="1"/>
  <c r="F60" i="1"/>
  <c r="F58" i="1"/>
  <c r="F57" i="1"/>
  <c r="F32" i="1"/>
  <c r="F30" i="1"/>
  <c r="F27" i="1"/>
  <c r="F18" i="1"/>
  <c r="F124" i="1"/>
  <c r="F123" i="1"/>
  <c r="F133" i="1" l="1"/>
  <c r="F136" i="1" l="1"/>
  <c r="F137" i="1" s="1"/>
  <c r="F134" i="1"/>
  <c r="F135" i="1"/>
  <c r="F13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355DEE91-4524-471A-9BE0-DE1D43AFC61D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<sst xmlns="http://schemas.openxmlformats.org/spreadsheetml/2006/main" count="286" uniqueCount="197">
  <si>
    <t>Un</t>
  </si>
  <si>
    <t>PRELIMINARES</t>
  </si>
  <si>
    <t>Demilicion de muros de drywall</t>
  </si>
  <si>
    <t>M2</t>
  </si>
  <si>
    <t xml:space="preserve">Quitada de tapete </t>
  </si>
  <si>
    <t>Demolicion enchape cocina</t>
  </si>
  <si>
    <t>Retiro de muebles</t>
  </si>
  <si>
    <t>GL</t>
  </si>
  <si>
    <t>Desmonte de puertas sencilla</t>
  </si>
  <si>
    <t>UN</t>
  </si>
  <si>
    <t>Desmonte de cielo razo</t>
  </si>
  <si>
    <t>Desmonte de redes eléctricas y de datos existentes</t>
  </si>
  <si>
    <t>Desmonte de division movil</t>
  </si>
  <si>
    <t>Material proteccion</t>
  </si>
  <si>
    <t>Movimiento de materiales</t>
  </si>
  <si>
    <t>Dia</t>
  </si>
  <si>
    <t>Regata en muros y pisos</t>
  </si>
  <si>
    <t>ML</t>
  </si>
  <si>
    <t xml:space="preserve">Desmonte De Divisioiones de vidrio </t>
  </si>
  <si>
    <t>Retiro de escombros</t>
  </si>
  <si>
    <t>SUBTOTAL  PRELIMINARES</t>
  </si>
  <si>
    <t>MAMPOSTERIAS</t>
  </si>
  <si>
    <t>Muros en Dry Wall dos caras 12Cm</t>
  </si>
  <si>
    <t>Muro en mampoteria, con sus respectivas viguetas, grafiles y anclados a placas son sika, con su respectivo pañete, estuco y pintura</t>
  </si>
  <si>
    <t>Dinteles en drywall</t>
  </si>
  <si>
    <t>SUBTOTAL MAMPOSTERIAS</t>
  </si>
  <si>
    <t>PAÑETES - ENCHAPES - CIELORASOS</t>
  </si>
  <si>
    <t>Filos de muros y columnas</t>
  </si>
  <si>
    <t>Resanes de regatas en muros y pisos</t>
  </si>
  <si>
    <t>impermeabilizacion en regatas</t>
  </si>
  <si>
    <t>instalacion de enchapes segun diseño</t>
  </si>
  <si>
    <t>Dilataciones en z de cielo raso</t>
  </si>
  <si>
    <t>Cieloraso en Drywall</t>
  </si>
  <si>
    <t xml:space="preserve">Cortineros </t>
  </si>
  <si>
    <t>Suministro e instalacion de Xsound</t>
  </si>
  <si>
    <t>m2</t>
  </si>
  <si>
    <t>COVE de iluminacion</t>
  </si>
  <si>
    <t>Reforzamiento cielo raso y muros para vidrios y puertas</t>
  </si>
  <si>
    <t>1.1</t>
  </si>
  <si>
    <t xml:space="preserve">Palillaje techo Melamina  2x3cm  </t>
  </si>
  <si>
    <t>SUBTOTAL  PAÑETES - ENCHAPES</t>
  </si>
  <si>
    <t>4.00</t>
  </si>
  <si>
    <t>PISOS</t>
  </si>
  <si>
    <t>Alistado de piso</t>
  </si>
  <si>
    <t>Suministro e instalacion de guarda escoba aglomerado  según referencia</t>
  </si>
  <si>
    <t>SUBTOTAL  PISOS</t>
  </si>
  <si>
    <t>INSTALACION ELECTRICA  Y DATOS</t>
  </si>
  <si>
    <t>Salidas para para alumbrado</t>
  </si>
  <si>
    <r>
      <t xml:space="preserve">Toda la tuberia será EMT. La tuberia sera sobre puesta en techos y muros. Se incluye tuberia, accesorios, cajas, presna estopa, conductores tipo cable THHN/THWN LSHF, </t>
    </r>
    <r>
      <rPr>
        <b/>
        <sz val="9"/>
        <color rgb="FF000000"/>
        <rFont val="Century Gothic"/>
        <family val="2"/>
      </rPr>
      <t>NO SE INCLUYE SUMINISTRO DE LUMINARIA</t>
    </r>
  </si>
  <si>
    <t>5.01-1</t>
  </si>
  <si>
    <t>Salida para luminaria campana descolgada</t>
  </si>
  <si>
    <t>5.01-2</t>
  </si>
  <si>
    <t>Salida para lineal especial</t>
  </si>
  <si>
    <t>5.01-3</t>
  </si>
  <si>
    <t>Salida para luminaria lineal colgante</t>
  </si>
  <si>
    <t>5.01-4</t>
  </si>
  <si>
    <t>Salida para luminaria redonda de descolgar 90cm</t>
  </si>
  <si>
    <t>5.01-5</t>
  </si>
  <si>
    <t>Salida para Cinta LED</t>
  </si>
  <si>
    <t>5.01-6</t>
  </si>
  <si>
    <t xml:space="preserve">Salida para lamparas descolgadas  </t>
  </si>
  <si>
    <t>5.01-7</t>
  </si>
  <si>
    <t>Salida para balas recesadas pequeñas</t>
  </si>
  <si>
    <t>5.01-8</t>
  </si>
  <si>
    <t>Salida para Luminaria descolgada en sala de juntas</t>
  </si>
  <si>
    <t>5.01-9</t>
  </si>
  <si>
    <t>Salida para interruptores</t>
  </si>
  <si>
    <t>5.01-10</t>
  </si>
  <si>
    <t>Salida para luz hermetica</t>
  </si>
  <si>
    <t>5.01-11</t>
  </si>
  <si>
    <t>Salida para luz de emergencia</t>
  </si>
  <si>
    <t>Instalación de luminarias (INCLUYE SUMINISTRO)</t>
  </si>
  <si>
    <t>5.01-12</t>
  </si>
  <si>
    <t>Instalacion de luminaria Campana descolgada (INCLUYE SUMINISTRO)</t>
  </si>
  <si>
    <t>5.01-13</t>
  </si>
  <si>
    <t>Instalacion de lineal especial (INCLUYE SUMINISTRO)</t>
  </si>
  <si>
    <t>5.01-14</t>
  </si>
  <si>
    <t>Instalación de cinta LED ( INCLUYE SUMINISTRO)</t>
  </si>
  <si>
    <t>5.01-15</t>
  </si>
  <si>
    <t>Instalación de luminaria redonda de descolgar 90cm ( INCLUYE SUMINISTRO)</t>
  </si>
  <si>
    <t>5.01-16</t>
  </si>
  <si>
    <t>Instalación de luminaria lineal colgante especial(INCLUYE SUMINISTRO)</t>
  </si>
  <si>
    <t>5.01-17</t>
  </si>
  <si>
    <t>Suministro e intalacion de luz hermatica</t>
  </si>
  <si>
    <t>5.01-18</t>
  </si>
  <si>
    <t>Instalación de luminaria descolgada ( INCLUYE SUMINISTRO)</t>
  </si>
  <si>
    <t>5.01-19</t>
  </si>
  <si>
    <t>instalacion iluminaria  balas recesadas (INCLUYE SUMINISTRO)</t>
  </si>
  <si>
    <t>5.01-20</t>
  </si>
  <si>
    <t>instalacion iluminaria descolgada en sala de juntas (INCLUYE SUMINISTRO)</t>
  </si>
  <si>
    <t>5.01-21</t>
  </si>
  <si>
    <t>instalacion iluminaria de emergencia (INCLUYE SUMINISTRO)</t>
  </si>
  <si>
    <t>5.01-22</t>
  </si>
  <si>
    <t>Instalacion de interruptores (INCLUYE SUMINISTRO)</t>
  </si>
  <si>
    <t>Alimentadores de circuito</t>
  </si>
  <si>
    <t>Se consideran los materiales a partir del tablero de distribución hasta la primera salida o caja de paso a partir de las cuales salen las salidas de tomacorrientes. Toda la tuberia sera EMT sera sobrepuesta con perfil uniestrut 1.1/4", anclas tipo RL de 3/8", varilla roscada de 3/8" y abrazaderas ajustables de acuerdo a los diametros de la tuberia. Se instalaran bordeando la estructura. para el paso bajo vigas se utilizaran conduletas de aluminio</t>
  </si>
  <si>
    <t>Salidas para tomacorrientes</t>
  </si>
  <si>
    <t>La tuberia sera sobrepuesta bajo placa y en muros y/o pisos. Incluye toma y caja y conductres tipo cable THHN/THWN LSHF</t>
  </si>
  <si>
    <t>5.02-1</t>
  </si>
  <si>
    <t>Salida para tomacorriente red normal doble Nema 5-15R 120VAC Levitón standard color blanco o similar en tuberia</t>
  </si>
  <si>
    <t>5,02-2</t>
  </si>
  <si>
    <t>Salida para tomacorriente red GFCI Nema 5-15R 120VAC Levitón standard color blanco o similar en tuberia</t>
  </si>
  <si>
    <t>Salidas tomacorriente sistema regulado</t>
  </si>
  <si>
    <t>5.02-3</t>
  </si>
  <si>
    <t>Salida para tomacorrientes doblesmarca Levitón color naranja red regulada de mesas de trabajo. Cada salida con ciruito independiente en cable 12 AWG</t>
  </si>
  <si>
    <t>Sistema de telecomunicaciones, control de acceso, CCTV</t>
  </si>
  <si>
    <t>Sistema de administración</t>
  </si>
  <si>
    <t>5.04-1</t>
  </si>
  <si>
    <t>Patch panel categoria 6A de 24 puertos</t>
  </si>
  <si>
    <t xml:space="preserve">UN </t>
  </si>
  <si>
    <t>Telecomunicaciones</t>
  </si>
  <si>
    <t>Subsistema horizontal</t>
  </si>
  <si>
    <t>Toda la tuberia sera EMT. La tuberia EMT sera sobre puesta bajo placa y en muros o pisos, incluye jack faceplate, marquillado</t>
  </si>
  <si>
    <t>5.06-1</t>
  </si>
  <si>
    <t xml:space="preserve">Salida para punto de datos en CAT 6A </t>
  </si>
  <si>
    <t>5.06-2</t>
  </si>
  <si>
    <t>Certificaciones CAT 6A</t>
  </si>
  <si>
    <t>5.06-3</t>
  </si>
  <si>
    <t>Salida y reinstalacion de camaras de seguridad</t>
  </si>
  <si>
    <t>5.06-4</t>
  </si>
  <si>
    <t>Puntos para red wifi</t>
  </si>
  <si>
    <t>5.06-5</t>
  </si>
  <si>
    <t>Patch cord de 1.5m</t>
  </si>
  <si>
    <t>5.06-6</t>
  </si>
  <si>
    <t>Salidas HDMI hasta 10m</t>
  </si>
  <si>
    <t>5.06-7</t>
  </si>
  <si>
    <t xml:space="preserve">Rack 9U </t>
  </si>
  <si>
    <t>5.06-8</t>
  </si>
  <si>
    <t>Conexion en fibra de los dos gabinetes</t>
  </si>
  <si>
    <t xml:space="preserve"> ELECTRICO</t>
  </si>
  <si>
    <t>5,07-1</t>
  </si>
  <si>
    <t>Diseño electrico</t>
  </si>
  <si>
    <t>5,07-2</t>
  </si>
  <si>
    <t>Acondicionamiento de Tablero ELECTRICO</t>
  </si>
  <si>
    <t>5,07-3</t>
  </si>
  <si>
    <t xml:space="preserve">Suministro e instalacion de UPS de 12kva </t>
  </si>
  <si>
    <t>SUBTOTAL  INSTALACIÓN ELECTRICA Y SUBTOTAL DE INSTALACION ELECTRICA  Y DATOS</t>
  </si>
  <si>
    <t>Red de detencion de incendios</t>
  </si>
  <si>
    <t>Red de deteccion, movimiento y reubicacion</t>
  </si>
  <si>
    <t>Configuracion y actualizacion del panel de red de deteccion</t>
  </si>
  <si>
    <t>SUBTOTAL  RED DE DETENCION DE INCENDIOS</t>
  </si>
  <si>
    <t>HIDROSANITARIO Y EQUIPOS DE BAÑOS</t>
  </si>
  <si>
    <t>EQUIPOS Y ACCESORIOS DE BAÑOS</t>
  </si>
  <si>
    <t>8,01-5</t>
  </si>
  <si>
    <t xml:space="preserve">Suministro de griferia para cocina GRIF LAVAM TALIS E 240 C/VACIADOR 
</t>
  </si>
  <si>
    <t>8,01-6</t>
  </si>
  <si>
    <t>Instalación de grifería de cocina</t>
  </si>
  <si>
    <t>8,01-16</t>
  </si>
  <si>
    <t>Suministro de tapa registro</t>
  </si>
  <si>
    <t>8,01-17</t>
  </si>
  <si>
    <t>Instalación de tapa registro</t>
  </si>
  <si>
    <t>SUBTOTAL HIDRAULICO</t>
  </si>
  <si>
    <t>HIDROSANITARIO</t>
  </si>
  <si>
    <t>8,02-1</t>
  </si>
  <si>
    <t>Hidrosanitario todo costo suspenciones e instalaciones</t>
  </si>
  <si>
    <t>SUBTOTAL</t>
  </si>
  <si>
    <t>VENTILACION MECANICA</t>
  </si>
  <si>
    <t>Contracual</t>
  </si>
  <si>
    <t>8.03-1</t>
  </si>
  <si>
    <t>Reubicacion de rejillas existentes</t>
  </si>
  <si>
    <t>Reubicacion de termostatos existentes</t>
  </si>
  <si>
    <t>SUB-TOTAL</t>
  </si>
  <si>
    <t>CARPINTERIAS ALUMINIO + CRISTALES</t>
  </si>
  <si>
    <t>Instalacion de vidrios reutilizados</t>
  </si>
  <si>
    <t xml:space="preserve">Cambio de perfiles en vidrios </t>
  </si>
  <si>
    <t>Suministro e Instalación de Puerta batiente enmarcada en perfileria de aluminio, Ref: ALN-109,
ALN-414, ALN-1101, Tubular de 2x1, bisagras omega, incluye empaques de neopreno, tope de
piso, cerradura de palanca Bari; Cristal laminado crudo 4+4 Incoloro.</t>
  </si>
  <si>
    <t>División paneles  moviles</t>
  </si>
  <si>
    <t>SUBTOTAL CARPINTERIAS</t>
  </si>
  <si>
    <t>PINTURA GENERAL</t>
  </si>
  <si>
    <t>Pañete</t>
  </si>
  <si>
    <t>Estuco</t>
  </si>
  <si>
    <t>Pintura vinilica</t>
  </si>
  <si>
    <t>Pintura vinilica blanca en cieloraso</t>
  </si>
  <si>
    <t>ADICIONALES</t>
  </si>
  <si>
    <t>Demolición muro en mamposteria</t>
  </si>
  <si>
    <t>1.2</t>
  </si>
  <si>
    <t>Muro en mamposteria, con sus respectivas viguetas, grafiles y anclados a placas son sika, con su respectivo pañete, estuco y pintura</t>
  </si>
  <si>
    <t>1.3</t>
  </si>
  <si>
    <t>Demolicion de muros de drywall sala de juntas</t>
  </si>
  <si>
    <t>1.4</t>
  </si>
  <si>
    <t xml:space="preserve">Demolicion de muros de drywall oficina </t>
  </si>
  <si>
    <t>1.5</t>
  </si>
  <si>
    <t>Muros en Dry Wall dos caras 12Cm sala de juntas</t>
  </si>
  <si>
    <t>1.6</t>
  </si>
  <si>
    <t>Muro en mampoteria, con sus respectivas viguetas, grafiles y anclados a placas son sika, con su respectivo pañete, estuco y pintura (oficina DOC)</t>
  </si>
  <si>
    <t>Costo Directo</t>
  </si>
  <si>
    <t>Administración</t>
  </si>
  <si>
    <t>Imprevistos</t>
  </si>
  <si>
    <t>utilidad</t>
  </si>
  <si>
    <t>Iva sobre Utilidad</t>
  </si>
  <si>
    <t>Total</t>
  </si>
  <si>
    <t>item</t>
  </si>
  <si>
    <t>descripcion</t>
  </si>
  <si>
    <t>un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</si>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</sst>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164" formatCode="0.00_ "/>
    <numFmt numFmtId="165" formatCode="_-&quot;$&quot;* #,##0_-;\-&quot;$&quot;* #,##0_-;_-&quot;$&quot;* &quot;-&quot;_-;_-@"/>
    <numFmt numFmtId="166" formatCode="_(* #,##0.00_);_(* \(#,##0.00\);_(* &quot;-&quot;??_);_(@_)"/>
    <numFmt numFmtId="167" formatCode="&quot;$&quot;#,##0_);[Red]\(&quot;$&quot;#,##0\)"/>
    <numFmt numFmtId="168" formatCode="#,##0_ ;\-#,##0\ "/>
    <numFmt numFmtId="169" formatCode="_-&quot;$&quot;\ * #,##0_-;\-&quot;$&quot;\ * #,##0_-;_-&quot;$&quot;\ * &quot;-&quot;??_-;_-@_-"/>
    <numFmt numFmtId="170" formatCode="#,##0.00_ ;\-#,##0.00\ "/>
    <numFmt numFmtId="171" formatCode="d&quot; de &quot;mmm&quot; de &quot;yy"/>
    <numFmt numFmtId="172" formatCode="#,##0.0_ ;[Red]\-#,##0.0\ "/>
    <numFmt numFmtId="173" formatCode="_(* #,##0_);_(* \(#,##0\);_(* \-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Century Gothic"/>
      <family val="2"/>
    </font>
    <font>
      <b/>
      <sz val="9"/>
      <color theme="1"/>
      <name val="Century Gothic"/>
      <family val="2"/>
    </font>
    <font>
      <sz val="9"/>
      <name val="Century Gothic"/>
      <family val="2"/>
    </font>
    <font>
      <sz val="9"/>
      <color theme="1"/>
      <name val="Century Gothic"/>
      <family val="2"/>
    </font>
    <font>
      <b/>
      <sz val="9"/>
      <color rgb="FF000000"/>
      <name val="Century Gothic"/>
      <family val="2"/>
    </font>
    <font>
      <sz val="9"/>
      <color rgb="FF000000"/>
      <name val="Century Gothic"/>
      <family val="2"/>
    </font>
    <font>
      <b/>
      <sz val="8"/>
      <name val="Century Gothic"/>
      <family val="2"/>
    </font>
    <font>
      <sz val="8"/>
      <name val="Century Gothic"/>
      <family val="2"/>
    </font>
    <font>
      <sz val="8"/>
      <name val="Calibri"/>
      <family val="2"/>
    </font>
    <font>
      <sz val="8"/>
      <color theme="1"/>
      <name val="Arial"/>
      <family val="2"/>
    </font>
    <font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C4A1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A8D08D"/>
      </patternFill>
    </fill>
    <fill>
      <patternFill patternType="solid">
        <fgColor theme="0"/>
        <bgColor rgb="FFFCFE9C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rgb="FFC8C8C8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rgb="FFDADADA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F4B083"/>
      </patternFill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wrapText="1"/>
    </xf>
    <xf numFmtId="0" fontId="4" fillId="3" borderId="2" xfId="0" applyFont="1" applyFill="1" applyBorder="1"/>
    <xf numFmtId="44" fontId="4" fillId="3" borderId="2" xfId="1" applyFont="1" applyFill="1" applyBorder="1" applyAlignment="1"/>
    <xf numFmtId="0" fontId="5" fillId="4" borderId="2" xfId="0" applyFont="1" applyFill="1" applyBorder="1" applyAlignment="1">
      <alignment horizontal="left" readingOrder="1"/>
    </xf>
    <xf numFmtId="0" fontId="5" fillId="4" borderId="2" xfId="0" applyFont="1" applyFill="1" applyBorder="1" applyAlignment="1">
      <alignment horizontal="left" wrapText="1" readingOrder="1"/>
    </xf>
    <xf numFmtId="0" fontId="5" fillId="4" borderId="2" xfId="0" applyFont="1" applyFill="1" applyBorder="1" applyAlignment="1">
      <alignment horizontal="center" vertical="center" readingOrder="1"/>
    </xf>
    <xf numFmtId="164" fontId="5" fillId="4" borderId="2" xfId="0" applyNumberFormat="1" applyFont="1" applyFill="1" applyBorder="1" applyAlignment="1">
      <alignment horizontal="right" vertical="center" readingOrder="1"/>
    </xf>
    <xf numFmtId="165" fontId="5" fillId="4" borderId="2" xfId="0" applyNumberFormat="1" applyFont="1" applyFill="1" applyBorder="1"/>
    <xf numFmtId="44" fontId="5" fillId="4" borderId="2" xfId="1" applyFont="1" applyFill="1" applyBorder="1" applyAlignment="1"/>
    <xf numFmtId="0" fontId="5" fillId="4" borderId="2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center"/>
    </xf>
    <xf numFmtId="166" fontId="5" fillId="3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/>
    <xf numFmtId="44" fontId="3" fillId="3" borderId="2" xfId="1" applyFont="1" applyFill="1" applyBorder="1" applyAlignment="1"/>
    <xf numFmtId="0" fontId="6" fillId="4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left" readingOrder="1"/>
    </xf>
    <xf numFmtId="0" fontId="5" fillId="5" borderId="2" xfId="0" applyFont="1" applyFill="1" applyBorder="1" applyAlignment="1">
      <alignment horizontal="left" vertical="center" wrapText="1" readingOrder="1"/>
    </xf>
    <xf numFmtId="0" fontId="5" fillId="5" borderId="2" xfId="0" applyFont="1" applyFill="1" applyBorder="1" applyAlignment="1">
      <alignment horizontal="center" vertical="center" readingOrder="1"/>
    </xf>
    <xf numFmtId="164" fontId="5" fillId="5" borderId="2" xfId="0" applyNumberFormat="1" applyFont="1" applyFill="1" applyBorder="1" applyAlignment="1">
      <alignment horizontal="right" vertical="center" readingOrder="1"/>
    </xf>
    <xf numFmtId="165" fontId="5" fillId="5" borderId="2" xfId="0" applyNumberFormat="1" applyFont="1" applyFill="1" applyBorder="1"/>
    <xf numFmtId="44" fontId="5" fillId="5" borderId="2" xfId="1" applyFont="1" applyFill="1" applyBorder="1" applyAlignment="1"/>
    <xf numFmtId="165" fontId="5" fillId="5" borderId="2" xfId="0" applyNumberFormat="1" applyFont="1" applyFill="1" applyBorder="1" applyAlignment="1">
      <alignment vertical="center"/>
    </xf>
    <xf numFmtId="44" fontId="5" fillId="5" borderId="2" xfId="1" applyFont="1" applyFill="1" applyBorder="1" applyAlignment="1">
      <alignment vertical="center"/>
    </xf>
    <xf numFmtId="0" fontId="6" fillId="3" borderId="2" xfId="0" applyFont="1" applyFill="1" applyBorder="1" applyAlignment="1">
      <alignment horizontal="left" wrapText="1"/>
    </xf>
    <xf numFmtId="0" fontId="7" fillId="3" borderId="2" xfId="0" applyFont="1" applyFill="1" applyBorder="1" applyAlignment="1">
      <alignment horizontal="center"/>
    </xf>
    <xf numFmtId="165" fontId="5" fillId="3" borderId="2" xfId="0" applyNumberFormat="1" applyFont="1" applyFill="1" applyBorder="1"/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166" fontId="5" fillId="6" borderId="2" xfId="0" applyNumberFormat="1" applyFont="1" applyFill="1" applyBorder="1" applyAlignment="1">
      <alignment vertical="center"/>
    </xf>
    <xf numFmtId="165" fontId="5" fillId="6" borderId="2" xfId="0" applyNumberFormat="1" applyFont="1" applyFill="1" applyBorder="1"/>
    <xf numFmtId="44" fontId="5" fillId="6" borderId="2" xfId="1" applyFont="1" applyFill="1" applyBorder="1" applyAlignment="1"/>
    <xf numFmtId="0" fontId="7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/>
    </xf>
    <xf numFmtId="166" fontId="5" fillId="7" borderId="2" xfId="0" applyNumberFormat="1" applyFont="1" applyFill="1" applyBorder="1" applyAlignment="1">
      <alignment vertic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left" wrapText="1"/>
    </xf>
    <xf numFmtId="0" fontId="7" fillId="6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readingOrder="1"/>
    </xf>
    <xf numFmtId="0" fontId="5" fillId="8" borderId="2" xfId="0" applyFont="1" applyFill="1" applyBorder="1" applyAlignment="1">
      <alignment horizontal="left" vertical="center" wrapText="1" readingOrder="1"/>
    </xf>
    <xf numFmtId="0" fontId="5" fillId="8" borderId="2" xfId="0" applyFont="1" applyFill="1" applyBorder="1" applyAlignment="1">
      <alignment horizontal="center" vertical="center" readingOrder="1"/>
    </xf>
    <xf numFmtId="0" fontId="5" fillId="8" borderId="2" xfId="0" applyFont="1" applyFill="1" applyBorder="1" applyAlignment="1">
      <alignment horizontal="right" vertical="center" readingOrder="1"/>
    </xf>
    <xf numFmtId="167" fontId="5" fillId="8" borderId="2" xfId="0" applyNumberFormat="1" applyFont="1" applyFill="1" applyBorder="1" applyAlignment="1">
      <alignment horizontal="right" vertical="center" readingOrder="1"/>
    </xf>
    <xf numFmtId="44" fontId="5" fillId="8" borderId="2" xfId="1" applyFont="1" applyFill="1" applyBorder="1" applyAlignment="1">
      <alignment horizontal="right" vertical="center" readingOrder="1"/>
    </xf>
    <xf numFmtId="0" fontId="6" fillId="3" borderId="2" xfId="0" applyFont="1" applyFill="1" applyBorder="1" applyAlignment="1">
      <alignment wrapText="1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/>
    </xf>
    <xf numFmtId="166" fontId="5" fillId="9" borderId="2" xfId="0" applyNumberFormat="1" applyFont="1" applyFill="1" applyBorder="1" applyAlignment="1">
      <alignment vertical="center"/>
    </xf>
    <xf numFmtId="165" fontId="5" fillId="9" borderId="2" xfId="0" applyNumberFormat="1" applyFont="1" applyFill="1" applyBorder="1"/>
    <xf numFmtId="44" fontId="5" fillId="9" borderId="2" xfId="1" applyFont="1" applyFill="1" applyBorder="1" applyAlignment="1"/>
    <xf numFmtId="0" fontId="5" fillId="9" borderId="2" xfId="0" applyFont="1" applyFill="1" applyBorder="1" applyAlignment="1">
      <alignment horizontal="center" vertical="center"/>
    </xf>
    <xf numFmtId="44" fontId="6" fillId="4" borderId="2" xfId="1" applyFont="1" applyFill="1" applyBorder="1" applyAlignment="1"/>
    <xf numFmtId="0" fontId="7" fillId="4" borderId="2" xfId="0" applyFont="1" applyFill="1" applyBorder="1" applyAlignment="1">
      <alignment wrapText="1"/>
    </xf>
    <xf numFmtId="0" fontId="7" fillId="10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/>
    </xf>
    <xf numFmtId="165" fontId="5" fillId="10" borderId="2" xfId="0" applyNumberFormat="1" applyFont="1" applyFill="1" applyBorder="1" applyAlignment="1">
      <alignment horizontal="center" vertical="center"/>
    </xf>
    <xf numFmtId="44" fontId="5" fillId="10" borderId="2" xfId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 readingOrder="1"/>
    </xf>
    <xf numFmtId="0" fontId="3" fillId="4" borderId="2" xfId="0" applyFont="1" applyFill="1" applyBorder="1" applyAlignment="1">
      <alignment wrapText="1" readingOrder="1"/>
    </xf>
    <xf numFmtId="0" fontId="7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44" fontId="5" fillId="3" borderId="2" xfId="1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left" vertical="center" readingOrder="1"/>
    </xf>
    <xf numFmtId="0" fontId="5" fillId="13" borderId="2" xfId="0" applyFont="1" applyFill="1" applyBorder="1" applyAlignment="1">
      <alignment vertical="center" wrapText="1"/>
    </xf>
    <xf numFmtId="0" fontId="5" fillId="13" borderId="2" xfId="0" applyFont="1" applyFill="1" applyBorder="1" applyAlignment="1">
      <alignment horizontal="center" vertical="center" readingOrder="1"/>
    </xf>
    <xf numFmtId="0" fontId="5" fillId="13" borderId="2" xfId="0" applyFont="1" applyFill="1" applyBorder="1" applyAlignment="1">
      <alignment horizontal="right" vertical="center" readingOrder="1"/>
    </xf>
    <xf numFmtId="165" fontId="5" fillId="13" borderId="2" xfId="0" applyNumberFormat="1" applyFont="1" applyFill="1" applyBorder="1" applyAlignment="1">
      <alignment horizontal="center" vertical="center"/>
    </xf>
    <xf numFmtId="44" fontId="5" fillId="13" borderId="2" xfId="1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 readingOrder="1"/>
    </xf>
    <xf numFmtId="0" fontId="3" fillId="3" borderId="2" xfId="0" applyFont="1" applyFill="1" applyBorder="1" applyAlignment="1">
      <alignment horizontal="left" wrapText="1" readingOrder="1"/>
    </xf>
    <xf numFmtId="0" fontId="5" fillId="3" borderId="2" xfId="0" applyFont="1" applyFill="1" applyBorder="1" applyAlignment="1">
      <alignment horizontal="left" vertical="center" readingOrder="1"/>
    </xf>
    <xf numFmtId="44" fontId="5" fillId="3" borderId="2" xfId="1" applyFont="1" applyFill="1" applyBorder="1" applyAlignment="1">
      <alignment horizontal="left" readingOrder="1"/>
    </xf>
    <xf numFmtId="0" fontId="5" fillId="1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vertical="center"/>
    </xf>
    <xf numFmtId="44" fontId="5" fillId="3" borderId="2" xfId="1" applyFont="1" applyFill="1" applyBorder="1" applyAlignment="1"/>
    <xf numFmtId="0" fontId="5" fillId="14" borderId="2" xfId="0" applyFont="1" applyFill="1" applyBorder="1" applyAlignment="1">
      <alignment horizontal="left"/>
    </xf>
    <xf numFmtId="0" fontId="7" fillId="14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center" vertical="center" readingOrder="1"/>
    </xf>
    <xf numFmtId="0" fontId="5" fillId="14" borderId="2" xfId="0" applyFont="1" applyFill="1" applyBorder="1" applyAlignment="1">
      <alignment horizontal="right" vertical="center" readingOrder="1"/>
    </xf>
    <xf numFmtId="165" fontId="5" fillId="14" borderId="2" xfId="0" applyNumberFormat="1" applyFont="1" applyFill="1" applyBorder="1" applyAlignment="1">
      <alignment horizontal="center" vertical="center"/>
    </xf>
    <xf numFmtId="44" fontId="5" fillId="14" borderId="2" xfId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 readingOrder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readingOrder="1"/>
    </xf>
    <xf numFmtId="0" fontId="5" fillId="3" borderId="2" xfId="0" applyFont="1" applyFill="1" applyBorder="1" applyAlignment="1">
      <alignment horizontal="right" vertical="center" readingOrder="1"/>
    </xf>
    <xf numFmtId="165" fontId="5" fillId="3" borderId="2" xfId="0" applyNumberFormat="1" applyFont="1" applyFill="1" applyBorder="1" applyAlignment="1">
      <alignment vertical="center"/>
    </xf>
    <xf numFmtId="44" fontId="5" fillId="3" borderId="2" xfId="1" applyFont="1" applyFill="1" applyBorder="1" applyAlignment="1">
      <alignment horizontal="right" vertical="center" readingOrder="1"/>
    </xf>
    <xf numFmtId="0" fontId="6" fillId="3" borderId="2" xfId="0" applyFont="1" applyFill="1" applyBorder="1"/>
    <xf numFmtId="44" fontId="6" fillId="3" borderId="2" xfId="1" applyFont="1" applyFill="1" applyBorder="1" applyAlignment="1"/>
    <xf numFmtId="164" fontId="5" fillId="8" borderId="2" xfId="0" applyNumberFormat="1" applyFont="1" applyFill="1" applyBorder="1" applyAlignment="1">
      <alignment horizontal="right" vertical="center" readingOrder="1"/>
    </xf>
    <xf numFmtId="166" fontId="5" fillId="8" borderId="2" xfId="0" applyNumberFormat="1" applyFont="1" applyFill="1" applyBorder="1" applyAlignment="1">
      <alignment horizontal="right" vertical="center" readingOrder="1"/>
    </xf>
    <xf numFmtId="168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 vertical="center" wrapText="1" readingOrder="1"/>
    </xf>
    <xf numFmtId="0" fontId="12" fillId="0" borderId="1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vertical="center"/>
    </xf>
    <xf numFmtId="2" fontId="12" fillId="0" borderId="1" xfId="0" applyNumberFormat="1" applyFont="1" applyBorder="1" applyAlignment="1">
      <alignment horizontal="center"/>
    </xf>
    <xf numFmtId="169" fontId="12" fillId="0" borderId="1" xfId="1" applyNumberFormat="1" applyFont="1" applyBorder="1" applyAlignment="1"/>
    <xf numFmtId="0" fontId="11" fillId="0" borderId="1" xfId="0" applyFont="1" applyBorder="1" applyAlignment="1">
      <alignment horizontal="center" vertical="center" readingOrder="1"/>
    </xf>
    <xf numFmtId="2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wrapText="1" readingOrder="1"/>
    </xf>
    <xf numFmtId="169" fontId="11" fillId="0" borderId="1" xfId="1" applyNumberFormat="1" applyFont="1" applyFill="1" applyBorder="1" applyAlignment="1">
      <alignment horizontal="right" vertical="center" readingOrder="1"/>
    </xf>
    <xf numFmtId="169" fontId="12" fillId="0" borderId="1" xfId="1" applyNumberFormat="1" applyFont="1" applyBorder="1" applyAlignment="1">
      <alignment vertical="center"/>
    </xf>
    <xf numFmtId="165" fontId="12" fillId="0" borderId="1" xfId="0" applyNumberFormat="1" applyFont="1" applyBorder="1"/>
    <xf numFmtId="170" fontId="11" fillId="0" borderId="1" xfId="0" applyNumberFormat="1" applyFont="1" applyBorder="1"/>
    <xf numFmtId="0" fontId="10" fillId="0" borderId="1" xfId="0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vertical="center"/>
    </xf>
    <xf numFmtId="9" fontId="5" fillId="0" borderId="1" xfId="2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0" fontId="2" fillId="2" borderId="6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0" borderId="6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49" fontId="11" fillId="15" borderId="9" xfId="0" applyNumberFormat="1" applyFont="1" applyFill="1" applyBorder="1" applyAlignment="1">
      <alignment vertical="center"/>
    </xf>
    <xf numFmtId="171" fontId="11" fillId="15" borderId="10" xfId="0" applyNumberFormat="1" applyFont="1" applyFill="1" applyBorder="1" applyAlignment="1">
      <alignment vertical="center" wrapText="1"/>
    </xf>
    <xf numFmtId="49" fontId="11" fillId="15" borderId="10" xfId="0" applyNumberFormat="1" applyFont="1" applyFill="1" applyBorder="1" applyAlignment="1">
      <alignment horizontal="center" vertical="center"/>
    </xf>
    <xf numFmtId="172" fontId="11" fillId="15" borderId="10" xfId="0" applyNumberFormat="1" applyFont="1" applyFill="1" applyBorder="1" applyAlignment="1">
      <alignment horizontal="center" vertical="center"/>
    </xf>
    <xf numFmtId="173" fontId="11" fillId="15" borderId="10" xfId="0" applyNumberFormat="1" applyFont="1" applyFill="1" applyBorder="1" applyAlignment="1">
      <alignment horizontal="center" vertical="center"/>
    </xf>
    <xf numFmtId="3" fontId="11" fillId="15" borderId="10" xfId="0" applyNumberFormat="1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77C7-5B1B-41CF-8EFC-2F5CE959FDB9}">
  <dimension ref="A1:F138"/>
  <sheetViews>
    <sheetView tabSelected="1" workbookViewId="0">
      <selection sqref="A1:XFD1"/>
    </sheetView>
  </sheetViews>
  <sheetFormatPr baseColWidth="10" defaultRowHeight="15" x14ac:dyDescent="0.25"/>
  <cols>
    <col min="2" max="2" width="17.140625" bestFit="1" customWidth="1"/>
  </cols>
  <sheetData>
    <row r="1" spans="1:6" x14ac:dyDescent="0.25">
      <c r="A1" s="132" t="s">
        <v>191</v>
      </c>
      <c r="B1" s="133" t="s">
        <v>192</v>
      </c>
      <c r="C1" s="134" t="s">
        <v>193</v>
      </c>
      <c r="D1" s="135" t="s">
        <v>194</v>
      </c>
      <c r="E1" s="136" t="s">
        <v>195</v>
      </c>
      <c r="F1" s="137" t="s">
        <v>196</v>
      </c>
    </row>
    <row r="2" spans="1:6" ht="15.75" x14ac:dyDescent="0.3">
      <c r="A2" s="1">
        <v>1</v>
      </c>
      <c r="B2" s="2" t="s">
        <v>1</v>
      </c>
      <c r="C2" s="3"/>
      <c r="D2" s="3"/>
      <c r="E2" s="3"/>
      <c r="F2" s="4"/>
    </row>
    <row r="3" spans="1:6" ht="42.75" x14ac:dyDescent="0.3">
      <c r="A3" s="5">
        <v>1.02</v>
      </c>
      <c r="B3" s="6" t="s">
        <v>2</v>
      </c>
      <c r="C3" s="7" t="s">
        <v>3</v>
      </c>
      <c r="D3" s="8">
        <v>196</v>
      </c>
      <c r="E3" s="9">
        <v>16800</v>
      </c>
      <c r="F3" s="10">
        <f t="shared" ref="F3:F15" si="0">+E3*D3</f>
        <v>3292800</v>
      </c>
    </row>
    <row r="4" spans="1:6" ht="28.5" x14ac:dyDescent="0.3">
      <c r="A4" s="5">
        <v>1.04</v>
      </c>
      <c r="B4" s="6" t="s">
        <v>4</v>
      </c>
      <c r="C4" s="7" t="s">
        <v>3</v>
      </c>
      <c r="D4" s="8">
        <v>342</v>
      </c>
      <c r="E4" s="9">
        <v>14400</v>
      </c>
      <c r="F4" s="10">
        <f t="shared" si="0"/>
        <v>4924800</v>
      </c>
    </row>
    <row r="5" spans="1:6" ht="42.75" x14ac:dyDescent="0.3">
      <c r="A5" s="5">
        <v>1.05</v>
      </c>
      <c r="B5" s="6" t="s">
        <v>5</v>
      </c>
      <c r="C5" s="7" t="s">
        <v>3</v>
      </c>
      <c r="D5" s="8">
        <v>38</v>
      </c>
      <c r="E5" s="9">
        <v>21600</v>
      </c>
      <c r="F5" s="10">
        <f t="shared" si="0"/>
        <v>820800</v>
      </c>
    </row>
    <row r="6" spans="1:6" ht="28.5" x14ac:dyDescent="0.3">
      <c r="A6" s="5">
        <v>1.07</v>
      </c>
      <c r="B6" s="6" t="s">
        <v>6</v>
      </c>
      <c r="C6" s="7" t="s">
        <v>7</v>
      </c>
      <c r="D6" s="8">
        <v>1</v>
      </c>
      <c r="E6" s="9">
        <v>720000</v>
      </c>
      <c r="F6" s="10">
        <f t="shared" si="0"/>
        <v>720000</v>
      </c>
    </row>
    <row r="7" spans="1:6" ht="42.75" x14ac:dyDescent="0.3">
      <c r="A7" s="5">
        <v>1.1000000000000001</v>
      </c>
      <c r="B7" s="6" t="s">
        <v>8</v>
      </c>
      <c r="C7" s="7" t="s">
        <v>9</v>
      </c>
      <c r="D7" s="8">
        <v>12</v>
      </c>
      <c r="E7" s="9">
        <v>84000</v>
      </c>
      <c r="F7" s="10">
        <f t="shared" si="0"/>
        <v>1008000</v>
      </c>
    </row>
    <row r="8" spans="1:6" ht="42.75" x14ac:dyDescent="0.3">
      <c r="A8" s="5">
        <v>1.1100000000000001</v>
      </c>
      <c r="B8" s="6" t="s">
        <v>10</v>
      </c>
      <c r="C8" s="7" t="s">
        <v>3</v>
      </c>
      <c r="D8" s="8">
        <v>342</v>
      </c>
      <c r="E8" s="9">
        <v>14400</v>
      </c>
      <c r="F8" s="10">
        <f t="shared" si="0"/>
        <v>4924800</v>
      </c>
    </row>
    <row r="9" spans="1:6" ht="57" x14ac:dyDescent="0.3">
      <c r="A9" s="5">
        <v>1.1200000000000001</v>
      </c>
      <c r="B9" s="11" t="s">
        <v>11</v>
      </c>
      <c r="C9" s="7" t="s">
        <v>7</v>
      </c>
      <c r="D9" s="8">
        <v>0</v>
      </c>
      <c r="E9" s="9">
        <v>1620000</v>
      </c>
      <c r="F9" s="10">
        <f t="shared" si="0"/>
        <v>0</v>
      </c>
    </row>
    <row r="10" spans="1:6" ht="42.75" x14ac:dyDescent="0.3">
      <c r="A10" s="5">
        <v>1.1299999999999999</v>
      </c>
      <c r="B10" s="11" t="s">
        <v>12</v>
      </c>
      <c r="C10" s="7" t="s">
        <v>7</v>
      </c>
      <c r="D10" s="8">
        <v>1</v>
      </c>
      <c r="E10" s="9">
        <v>360000</v>
      </c>
      <c r="F10" s="10">
        <f t="shared" si="0"/>
        <v>360000</v>
      </c>
    </row>
    <row r="11" spans="1:6" ht="28.5" x14ac:dyDescent="0.3">
      <c r="A11" s="5">
        <v>1.1499999999999999</v>
      </c>
      <c r="B11" s="6" t="s">
        <v>13</v>
      </c>
      <c r="C11" s="7" t="s">
        <v>9</v>
      </c>
      <c r="D11" s="8">
        <v>4</v>
      </c>
      <c r="E11" s="9">
        <v>408000</v>
      </c>
      <c r="F11" s="10">
        <f t="shared" si="0"/>
        <v>1632000</v>
      </c>
    </row>
    <row r="12" spans="1:6" ht="42.75" x14ac:dyDescent="0.3">
      <c r="A12" s="5">
        <v>1.1599999999999999</v>
      </c>
      <c r="B12" s="6" t="s">
        <v>14</v>
      </c>
      <c r="C12" s="7" t="s">
        <v>15</v>
      </c>
      <c r="D12" s="8">
        <v>10</v>
      </c>
      <c r="E12" s="9">
        <v>216000</v>
      </c>
      <c r="F12" s="10">
        <f t="shared" si="0"/>
        <v>2160000</v>
      </c>
    </row>
    <row r="13" spans="1:6" ht="42.75" x14ac:dyDescent="0.3">
      <c r="A13" s="5">
        <v>1.0900000000000001</v>
      </c>
      <c r="B13" s="6" t="s">
        <v>16</v>
      </c>
      <c r="C13" s="7" t="s">
        <v>17</v>
      </c>
      <c r="D13" s="8">
        <v>86</v>
      </c>
      <c r="E13" s="9">
        <v>21600</v>
      </c>
      <c r="F13" s="10">
        <f t="shared" si="0"/>
        <v>1857600</v>
      </c>
    </row>
    <row r="14" spans="1:6" ht="57" x14ac:dyDescent="0.3">
      <c r="A14" s="5">
        <v>1.1399999999999999</v>
      </c>
      <c r="B14" s="11" t="s">
        <v>18</v>
      </c>
      <c r="C14" s="7" t="s">
        <v>3</v>
      </c>
      <c r="D14" s="8">
        <v>86</v>
      </c>
      <c r="E14" s="9">
        <v>91203.488372093023</v>
      </c>
      <c r="F14" s="10">
        <f t="shared" si="0"/>
        <v>7843500</v>
      </c>
    </row>
    <row r="15" spans="1:6" ht="28.5" x14ac:dyDescent="0.3">
      <c r="A15" s="5">
        <v>1.17</v>
      </c>
      <c r="B15" s="11" t="s">
        <v>19</v>
      </c>
      <c r="C15" s="7" t="s">
        <v>7</v>
      </c>
      <c r="D15" s="8">
        <v>12</v>
      </c>
      <c r="E15" s="9">
        <f>680000*1.1</f>
        <v>748000.00000000012</v>
      </c>
      <c r="F15" s="10">
        <f t="shared" si="0"/>
        <v>8976000.0000000019</v>
      </c>
    </row>
    <row r="16" spans="1:6" ht="27.75" x14ac:dyDescent="0.3">
      <c r="A16" s="12"/>
      <c r="B16" s="13" t="s">
        <v>20</v>
      </c>
      <c r="C16" s="14"/>
      <c r="D16" s="15"/>
      <c r="E16" s="16"/>
      <c r="F16" s="17"/>
    </row>
    <row r="17" spans="1:6" ht="15.75" x14ac:dyDescent="0.3">
      <c r="A17" s="1">
        <v>2</v>
      </c>
      <c r="B17" s="18" t="s">
        <v>21</v>
      </c>
      <c r="C17" s="3"/>
      <c r="D17" s="3"/>
      <c r="E17" s="3"/>
      <c r="F17" s="4"/>
    </row>
    <row r="18" spans="1:6" ht="28.5" x14ac:dyDescent="0.3">
      <c r="A18" s="19">
        <v>2.0099999999999998</v>
      </c>
      <c r="B18" s="20" t="s">
        <v>22</v>
      </c>
      <c r="C18" s="21" t="s">
        <v>3</v>
      </c>
      <c r="D18" s="22">
        <f>(9.23+1.9+1.9+1.8+1.7+6.1+3)*3.5</f>
        <v>89.705000000000013</v>
      </c>
      <c r="E18" s="23">
        <v>138000</v>
      </c>
      <c r="F18" s="24">
        <f t="shared" ref="F18:F19" si="1">+E18*D18</f>
        <v>12379290.000000002</v>
      </c>
    </row>
    <row r="19" spans="1:6" ht="28.5" x14ac:dyDescent="0.3">
      <c r="A19" s="19">
        <v>2.02</v>
      </c>
      <c r="B19" s="20" t="s">
        <v>22</v>
      </c>
      <c r="C19" s="21" t="s">
        <v>17</v>
      </c>
      <c r="D19" s="22">
        <f>11*3.5</f>
        <v>38.5</v>
      </c>
      <c r="E19" s="23">
        <f>E18*0.6</f>
        <v>82800</v>
      </c>
      <c r="F19" s="24">
        <f t="shared" si="1"/>
        <v>3187800</v>
      </c>
    </row>
    <row r="20" spans="1:6" ht="128.25" x14ac:dyDescent="0.3">
      <c r="A20" s="19">
        <v>2.0299999999999998</v>
      </c>
      <c r="B20" s="20" t="s">
        <v>23</v>
      </c>
      <c r="C20" s="21" t="s">
        <v>3</v>
      </c>
      <c r="D20" s="22">
        <f>8.63*4.35</f>
        <v>37.540500000000002</v>
      </c>
      <c r="E20" s="25">
        <v>95400</v>
      </c>
      <c r="F20" s="26">
        <f>D20*E20</f>
        <v>3581363.7</v>
      </c>
    </row>
    <row r="21" spans="1:6" ht="15.75" x14ac:dyDescent="0.3">
      <c r="A21" s="19">
        <v>2.04</v>
      </c>
      <c r="B21" s="20" t="s">
        <v>24</v>
      </c>
      <c r="C21" s="21" t="s">
        <v>17</v>
      </c>
      <c r="D21" s="22">
        <f>(5+3.6+5+3.6+6+2.3+8)*2</f>
        <v>67</v>
      </c>
      <c r="E21" s="23">
        <f>106000*1.2</f>
        <v>127200</v>
      </c>
      <c r="F21" s="24">
        <f>+E21*D21</f>
        <v>8522400</v>
      </c>
    </row>
    <row r="22" spans="1:6" ht="27.75" x14ac:dyDescent="0.3">
      <c r="A22" s="12"/>
      <c r="B22" s="27" t="s">
        <v>25</v>
      </c>
      <c r="C22" s="28"/>
      <c r="D22" s="15"/>
      <c r="E22" s="29"/>
      <c r="F22" s="17"/>
    </row>
    <row r="23" spans="1:6" ht="41.25" x14ac:dyDescent="0.3">
      <c r="A23" s="1">
        <v>3</v>
      </c>
      <c r="B23" s="2" t="s">
        <v>26</v>
      </c>
      <c r="C23" s="3"/>
      <c r="D23" s="3"/>
      <c r="E23" s="3"/>
      <c r="F23" s="4"/>
    </row>
    <row r="24" spans="1:6" ht="28.5" x14ac:dyDescent="0.3">
      <c r="A24" s="30">
        <v>3.01</v>
      </c>
      <c r="B24" s="31" t="s">
        <v>27</v>
      </c>
      <c r="C24" s="32" t="s">
        <v>17</v>
      </c>
      <c r="D24" s="33">
        <f>32*3</f>
        <v>96</v>
      </c>
      <c r="E24" s="34">
        <v>21600</v>
      </c>
      <c r="F24" s="35">
        <f t="shared" ref="F24:F33" si="2">+D24*E24</f>
        <v>2073600</v>
      </c>
    </row>
    <row r="25" spans="1:6" ht="42.75" x14ac:dyDescent="0.3">
      <c r="A25" s="30">
        <v>3.02</v>
      </c>
      <c r="B25" s="31" t="s">
        <v>28</v>
      </c>
      <c r="C25" s="32" t="s">
        <v>17</v>
      </c>
      <c r="D25" s="33">
        <v>86</v>
      </c>
      <c r="E25" s="34">
        <v>21600</v>
      </c>
      <c r="F25" s="35">
        <f t="shared" si="2"/>
        <v>1857600</v>
      </c>
    </row>
    <row r="26" spans="1:6" ht="28.5" x14ac:dyDescent="0.3">
      <c r="A26" s="30">
        <v>3.03</v>
      </c>
      <c r="B26" s="36" t="s">
        <v>29</v>
      </c>
      <c r="C26" s="37" t="s">
        <v>17</v>
      </c>
      <c r="D26" s="38">
        <v>50</v>
      </c>
      <c r="E26" s="34">
        <v>12000</v>
      </c>
      <c r="F26" s="35">
        <f t="shared" si="2"/>
        <v>600000</v>
      </c>
    </row>
    <row r="27" spans="1:6" ht="42.75" x14ac:dyDescent="0.3">
      <c r="A27" s="30">
        <v>3.04</v>
      </c>
      <c r="B27" s="36" t="s">
        <v>30</v>
      </c>
      <c r="C27" s="37" t="s">
        <v>3</v>
      </c>
      <c r="D27" s="38">
        <f>+(4.7)*3</f>
        <v>14.100000000000001</v>
      </c>
      <c r="E27" s="34">
        <v>45000</v>
      </c>
      <c r="F27" s="35">
        <f t="shared" si="2"/>
        <v>634500.00000000012</v>
      </c>
    </row>
    <row r="28" spans="1:6" ht="28.5" x14ac:dyDescent="0.3">
      <c r="A28" s="30">
        <v>3.06</v>
      </c>
      <c r="B28" s="36" t="s">
        <v>31</v>
      </c>
      <c r="C28" s="39" t="s">
        <v>17</v>
      </c>
      <c r="D28" s="38">
        <v>185</v>
      </c>
      <c r="E28" s="34">
        <v>19200</v>
      </c>
      <c r="F28" s="35">
        <f t="shared" si="2"/>
        <v>3552000</v>
      </c>
    </row>
    <row r="29" spans="1:6" ht="28.5" x14ac:dyDescent="0.3">
      <c r="A29" s="30">
        <v>3.07</v>
      </c>
      <c r="B29" s="36" t="s">
        <v>32</v>
      </c>
      <c r="C29" s="37" t="s">
        <v>3</v>
      </c>
      <c r="D29" s="38">
        <v>310</v>
      </c>
      <c r="E29" s="34">
        <v>90000</v>
      </c>
      <c r="F29" s="35">
        <f t="shared" si="2"/>
        <v>27900000</v>
      </c>
    </row>
    <row r="30" spans="1:6" ht="15.75" x14ac:dyDescent="0.3">
      <c r="A30" s="30">
        <v>3.08</v>
      </c>
      <c r="B30" s="36" t="s">
        <v>33</v>
      </c>
      <c r="C30" s="37" t="s">
        <v>17</v>
      </c>
      <c r="D30" s="38">
        <f>19+18+20</f>
        <v>57</v>
      </c>
      <c r="E30" s="34">
        <v>12000</v>
      </c>
      <c r="F30" s="35">
        <f t="shared" si="2"/>
        <v>684000</v>
      </c>
    </row>
    <row r="31" spans="1:6" ht="42.75" x14ac:dyDescent="0.3">
      <c r="A31" s="30">
        <v>3.09</v>
      </c>
      <c r="B31" s="36" t="s">
        <v>34</v>
      </c>
      <c r="C31" s="37" t="s">
        <v>35</v>
      </c>
      <c r="D31" s="38">
        <v>33.6</v>
      </c>
      <c r="E31" s="34">
        <v>216000</v>
      </c>
      <c r="F31" s="35">
        <f t="shared" si="2"/>
        <v>7257600</v>
      </c>
    </row>
    <row r="32" spans="1:6" ht="28.5" x14ac:dyDescent="0.3">
      <c r="A32" s="30">
        <v>3.1</v>
      </c>
      <c r="B32" s="36" t="s">
        <v>36</v>
      </c>
      <c r="C32" s="37" t="s">
        <v>17</v>
      </c>
      <c r="D32" s="38">
        <f>14+3.8+4.9+3.5+4.9+3</f>
        <v>34.1</v>
      </c>
      <c r="E32" s="34">
        <v>72000</v>
      </c>
      <c r="F32" s="35">
        <f t="shared" si="2"/>
        <v>2455200</v>
      </c>
    </row>
    <row r="33" spans="1:6" ht="57" x14ac:dyDescent="0.3">
      <c r="A33" s="30">
        <v>3.14</v>
      </c>
      <c r="B33" s="40" t="s">
        <v>37</v>
      </c>
      <c r="C33" s="41" t="s">
        <v>17</v>
      </c>
      <c r="D33" s="33">
        <v>46</v>
      </c>
      <c r="E33" s="34">
        <v>46800</v>
      </c>
      <c r="F33" s="35">
        <f t="shared" si="2"/>
        <v>2152800</v>
      </c>
    </row>
    <row r="34" spans="1:6" ht="28.5" x14ac:dyDescent="0.25">
      <c r="A34" s="42" t="s">
        <v>38</v>
      </c>
      <c r="B34" s="43" t="s">
        <v>39</v>
      </c>
      <c r="C34" s="44" t="s">
        <v>35</v>
      </c>
      <c r="D34" s="45">
        <v>40</v>
      </c>
      <c r="E34" s="46">
        <v>580000</v>
      </c>
      <c r="F34" s="47">
        <f>D34*E34</f>
        <v>23200000</v>
      </c>
    </row>
    <row r="35" spans="1:6" ht="27.75" x14ac:dyDescent="0.3">
      <c r="A35" s="12"/>
      <c r="B35" s="48" t="s">
        <v>40</v>
      </c>
      <c r="C35" s="3"/>
      <c r="D35" s="3"/>
      <c r="E35" s="29"/>
      <c r="F35" s="17"/>
    </row>
    <row r="36" spans="1:6" ht="15.75" x14ac:dyDescent="0.3">
      <c r="A36" s="1" t="s">
        <v>41</v>
      </c>
      <c r="B36" s="2" t="s">
        <v>42</v>
      </c>
      <c r="C36" s="3"/>
      <c r="D36" s="3"/>
      <c r="E36" s="3"/>
      <c r="F36" s="4"/>
    </row>
    <row r="37" spans="1:6" ht="15.75" x14ac:dyDescent="0.3">
      <c r="A37" s="49">
        <v>4.01</v>
      </c>
      <c r="B37" s="50" t="s">
        <v>43</v>
      </c>
      <c r="C37" s="51" t="s">
        <v>3</v>
      </c>
      <c r="D37" s="52">
        <v>0</v>
      </c>
      <c r="E37" s="53">
        <v>67200</v>
      </c>
      <c r="F37" s="54">
        <f t="shared" ref="F37:F39" si="3">+D37*E37</f>
        <v>0</v>
      </c>
    </row>
    <row r="38" spans="1:6" ht="42.75" x14ac:dyDescent="0.3">
      <c r="A38" s="49">
        <v>4.0199999999999996</v>
      </c>
      <c r="B38" s="50" t="s">
        <v>30</v>
      </c>
      <c r="C38" s="55" t="s">
        <v>3</v>
      </c>
      <c r="D38" s="52">
        <v>330</v>
      </c>
      <c r="E38" s="53">
        <v>45000</v>
      </c>
      <c r="F38" s="54">
        <f t="shared" si="3"/>
        <v>14850000</v>
      </c>
    </row>
    <row r="39" spans="1:6" ht="71.25" x14ac:dyDescent="0.3">
      <c r="A39" s="49">
        <v>4.0599999999999996</v>
      </c>
      <c r="B39" s="50" t="s">
        <v>44</v>
      </c>
      <c r="C39" s="51" t="s">
        <v>17</v>
      </c>
      <c r="D39" s="52">
        <v>130</v>
      </c>
      <c r="E39" s="53">
        <v>25600</v>
      </c>
      <c r="F39" s="54">
        <f t="shared" si="3"/>
        <v>3328000</v>
      </c>
    </row>
    <row r="40" spans="1:6" ht="15.75" x14ac:dyDescent="0.3">
      <c r="A40" s="12"/>
      <c r="B40" s="48" t="s">
        <v>45</v>
      </c>
      <c r="C40" s="3"/>
      <c r="D40" s="3"/>
      <c r="E40" s="29"/>
      <c r="F40" s="17"/>
    </row>
    <row r="41" spans="1:6" ht="41.25" x14ac:dyDescent="0.3">
      <c r="A41" s="1">
        <v>5</v>
      </c>
      <c r="B41" s="2" t="s">
        <v>46</v>
      </c>
      <c r="C41" s="3"/>
      <c r="D41" s="3"/>
      <c r="E41" s="3"/>
      <c r="F41" s="4"/>
    </row>
    <row r="42" spans="1:6" ht="27.75" x14ac:dyDescent="0.3">
      <c r="A42" s="1">
        <v>5.01</v>
      </c>
      <c r="B42" s="18" t="s">
        <v>47</v>
      </c>
      <c r="C42" s="3"/>
      <c r="D42" s="3"/>
      <c r="E42" s="3"/>
      <c r="F42" s="56"/>
    </row>
    <row r="43" spans="1:6" ht="198" x14ac:dyDescent="0.3">
      <c r="A43" s="1"/>
      <c r="B43" s="57" t="s">
        <v>48</v>
      </c>
      <c r="C43" s="3"/>
      <c r="D43" s="3"/>
      <c r="E43" s="3"/>
      <c r="F43" s="4"/>
    </row>
    <row r="44" spans="1:6" ht="57" x14ac:dyDescent="0.25">
      <c r="A44" s="58" t="s">
        <v>49</v>
      </c>
      <c r="B44" s="59" t="s">
        <v>50</v>
      </c>
      <c r="C44" s="60" t="s">
        <v>9</v>
      </c>
      <c r="D44" s="60">
        <v>6</v>
      </c>
      <c r="E44" s="61">
        <v>130000</v>
      </c>
      <c r="F44" s="62">
        <f t="shared" ref="F44:F54" si="4">+E44*D44</f>
        <v>780000</v>
      </c>
    </row>
    <row r="45" spans="1:6" ht="28.5" x14ac:dyDescent="0.25">
      <c r="A45" s="58" t="s">
        <v>51</v>
      </c>
      <c r="B45" s="59" t="s">
        <v>52</v>
      </c>
      <c r="C45" s="60" t="s">
        <v>9</v>
      </c>
      <c r="D45" s="60">
        <v>10</v>
      </c>
      <c r="E45" s="61">
        <v>130000</v>
      </c>
      <c r="F45" s="62">
        <f t="shared" si="4"/>
        <v>1300000</v>
      </c>
    </row>
    <row r="46" spans="1:6" ht="42.75" x14ac:dyDescent="0.25">
      <c r="A46" s="58" t="s">
        <v>53</v>
      </c>
      <c r="B46" s="59" t="s">
        <v>54</v>
      </c>
      <c r="C46" s="60" t="s">
        <v>9</v>
      </c>
      <c r="D46" s="60">
        <v>10</v>
      </c>
      <c r="E46" s="61">
        <v>130000</v>
      </c>
      <c r="F46" s="62">
        <f t="shared" si="4"/>
        <v>1300000</v>
      </c>
    </row>
    <row r="47" spans="1:6" ht="57" x14ac:dyDescent="0.25">
      <c r="A47" s="58" t="s">
        <v>55</v>
      </c>
      <c r="B47" s="59" t="s">
        <v>56</v>
      </c>
      <c r="C47" s="60" t="s">
        <v>9</v>
      </c>
      <c r="D47" s="60">
        <v>8</v>
      </c>
      <c r="E47" s="61">
        <v>130000</v>
      </c>
      <c r="F47" s="62">
        <f t="shared" si="4"/>
        <v>1040000</v>
      </c>
    </row>
    <row r="48" spans="1:6" ht="28.5" x14ac:dyDescent="0.25">
      <c r="A48" s="58" t="s">
        <v>57</v>
      </c>
      <c r="B48" s="59" t="s">
        <v>58</v>
      </c>
      <c r="C48" s="60" t="s">
        <v>9</v>
      </c>
      <c r="D48" s="60">
        <v>8</v>
      </c>
      <c r="E48" s="61">
        <v>130000</v>
      </c>
      <c r="F48" s="62">
        <f t="shared" si="4"/>
        <v>1040000</v>
      </c>
    </row>
    <row r="49" spans="1:6" ht="42.75" x14ac:dyDescent="0.25">
      <c r="A49" s="58" t="s">
        <v>59</v>
      </c>
      <c r="B49" s="59" t="s">
        <v>60</v>
      </c>
      <c r="C49" s="60" t="s">
        <v>9</v>
      </c>
      <c r="D49" s="60">
        <v>18</v>
      </c>
      <c r="E49" s="61">
        <v>130000</v>
      </c>
      <c r="F49" s="62">
        <f t="shared" si="4"/>
        <v>2340000</v>
      </c>
    </row>
    <row r="50" spans="1:6" ht="42.75" x14ac:dyDescent="0.25">
      <c r="A50" s="58" t="s">
        <v>61</v>
      </c>
      <c r="B50" s="59" t="s">
        <v>62</v>
      </c>
      <c r="C50" s="60" t="s">
        <v>9</v>
      </c>
      <c r="D50" s="60">
        <v>39</v>
      </c>
      <c r="E50" s="61">
        <v>130000</v>
      </c>
      <c r="F50" s="62">
        <f t="shared" si="4"/>
        <v>5070000</v>
      </c>
    </row>
    <row r="51" spans="1:6" ht="57" x14ac:dyDescent="0.25">
      <c r="A51" s="58" t="s">
        <v>63</v>
      </c>
      <c r="B51" s="59" t="s">
        <v>64</v>
      </c>
      <c r="C51" s="60" t="s">
        <v>9</v>
      </c>
      <c r="D51" s="60">
        <v>6</v>
      </c>
      <c r="E51" s="61">
        <v>130000</v>
      </c>
      <c r="F51" s="62">
        <f t="shared" si="4"/>
        <v>780000</v>
      </c>
    </row>
    <row r="52" spans="1:6" ht="28.5" x14ac:dyDescent="0.25">
      <c r="A52" s="58" t="s">
        <v>65</v>
      </c>
      <c r="B52" s="59" t="s">
        <v>66</v>
      </c>
      <c r="C52" s="60" t="s">
        <v>9</v>
      </c>
      <c r="D52" s="60">
        <v>11</v>
      </c>
      <c r="E52" s="61">
        <v>130000</v>
      </c>
      <c r="F52" s="62">
        <f t="shared" si="4"/>
        <v>1430000</v>
      </c>
    </row>
    <row r="53" spans="1:6" ht="28.5" x14ac:dyDescent="0.25">
      <c r="A53" s="58" t="s">
        <v>67</v>
      </c>
      <c r="B53" s="59" t="s">
        <v>68</v>
      </c>
      <c r="C53" s="60" t="s">
        <v>9</v>
      </c>
      <c r="D53" s="60">
        <v>2</v>
      </c>
      <c r="E53" s="61">
        <v>130000</v>
      </c>
      <c r="F53" s="62">
        <f t="shared" si="4"/>
        <v>260000</v>
      </c>
    </row>
    <row r="54" spans="1:6" ht="28.5" x14ac:dyDescent="0.25">
      <c r="A54" s="58" t="s">
        <v>69</v>
      </c>
      <c r="B54" s="59" t="s">
        <v>70</v>
      </c>
      <c r="C54" s="60" t="s">
        <v>9</v>
      </c>
      <c r="D54" s="60">
        <v>10</v>
      </c>
      <c r="E54" s="61">
        <v>130000</v>
      </c>
      <c r="F54" s="62">
        <f t="shared" si="4"/>
        <v>1300000</v>
      </c>
    </row>
    <row r="55" spans="1:6" x14ac:dyDescent="0.25">
      <c r="A55" s="58"/>
      <c r="B55" s="59"/>
      <c r="C55" s="60"/>
      <c r="D55" s="60"/>
      <c r="E55" s="61"/>
      <c r="F55" s="62"/>
    </row>
    <row r="56" spans="1:6" ht="54.75" x14ac:dyDescent="0.3">
      <c r="A56" s="1"/>
      <c r="B56" s="18" t="s">
        <v>71</v>
      </c>
      <c r="C56" s="3"/>
      <c r="D56" s="3"/>
      <c r="E56" s="3"/>
      <c r="F56" s="4"/>
    </row>
    <row r="57" spans="1:6" ht="85.5" x14ac:dyDescent="0.25">
      <c r="A57" s="58" t="s">
        <v>72</v>
      </c>
      <c r="B57" s="59" t="s">
        <v>73</v>
      </c>
      <c r="C57" s="60" t="s">
        <v>9</v>
      </c>
      <c r="D57" s="60">
        <f t="shared" ref="D57:D58" si="5">+D44</f>
        <v>6</v>
      </c>
      <c r="E57" s="61">
        <v>483000</v>
      </c>
      <c r="F57" s="62">
        <f t="shared" ref="F57:F67" si="6">+E57*D57</f>
        <v>2898000</v>
      </c>
    </row>
    <row r="58" spans="1:6" ht="57" x14ac:dyDescent="0.25">
      <c r="A58" s="58" t="s">
        <v>74</v>
      </c>
      <c r="B58" s="59" t="s">
        <v>75</v>
      </c>
      <c r="C58" s="60" t="s">
        <v>9</v>
      </c>
      <c r="D58" s="60">
        <f t="shared" si="5"/>
        <v>10</v>
      </c>
      <c r="E58" s="61">
        <v>495000</v>
      </c>
      <c r="F58" s="62">
        <f t="shared" si="6"/>
        <v>4950000</v>
      </c>
    </row>
    <row r="59" spans="1:6" ht="57" x14ac:dyDescent="0.25">
      <c r="A59" s="58" t="s">
        <v>76</v>
      </c>
      <c r="B59" s="59" t="s">
        <v>77</v>
      </c>
      <c r="C59" s="60" t="s">
        <v>17</v>
      </c>
      <c r="D59" s="60">
        <v>45</v>
      </c>
      <c r="E59" s="61">
        <v>46900</v>
      </c>
      <c r="F59" s="62">
        <f t="shared" si="6"/>
        <v>2110500</v>
      </c>
    </row>
    <row r="60" spans="1:6" ht="71.25" x14ac:dyDescent="0.25">
      <c r="A60" s="58" t="s">
        <v>78</v>
      </c>
      <c r="B60" s="59" t="s">
        <v>79</v>
      </c>
      <c r="C60" s="60" t="s">
        <v>9</v>
      </c>
      <c r="D60" s="60">
        <f>+D47</f>
        <v>8</v>
      </c>
      <c r="E60" s="61">
        <v>1000000</v>
      </c>
      <c r="F60" s="62">
        <f t="shared" si="6"/>
        <v>8000000</v>
      </c>
    </row>
    <row r="61" spans="1:6" ht="71.25" x14ac:dyDescent="0.25">
      <c r="A61" s="58" t="s">
        <v>80</v>
      </c>
      <c r="B61" s="59" t="s">
        <v>81</v>
      </c>
      <c r="C61" s="60" t="s">
        <v>9</v>
      </c>
      <c r="D61" s="60">
        <v>10</v>
      </c>
      <c r="E61" s="61">
        <v>946500</v>
      </c>
      <c r="F61" s="62">
        <f t="shared" si="6"/>
        <v>9465000</v>
      </c>
    </row>
    <row r="62" spans="1:6" ht="42.75" x14ac:dyDescent="0.25">
      <c r="A62" s="58" t="s">
        <v>82</v>
      </c>
      <c r="B62" s="59" t="s">
        <v>83</v>
      </c>
      <c r="C62" s="60" t="s">
        <v>9</v>
      </c>
      <c r="D62" s="60">
        <f>+D53</f>
        <v>2</v>
      </c>
      <c r="E62" s="61">
        <v>263400</v>
      </c>
      <c r="F62" s="62">
        <f t="shared" si="6"/>
        <v>526800</v>
      </c>
    </row>
    <row r="63" spans="1:6" ht="71.25" x14ac:dyDescent="0.25">
      <c r="A63" s="58" t="s">
        <v>84</v>
      </c>
      <c r="B63" s="59" t="s">
        <v>85</v>
      </c>
      <c r="C63" s="60" t="s">
        <v>9</v>
      </c>
      <c r="D63" s="60">
        <f t="shared" ref="D63:D65" si="7">+D49</f>
        <v>18</v>
      </c>
      <c r="E63" s="61">
        <v>245900</v>
      </c>
      <c r="F63" s="62">
        <f t="shared" si="6"/>
        <v>4426200</v>
      </c>
    </row>
    <row r="64" spans="1:6" ht="71.25" x14ac:dyDescent="0.25">
      <c r="A64" s="58" t="s">
        <v>86</v>
      </c>
      <c r="B64" s="59" t="s">
        <v>87</v>
      </c>
      <c r="C64" s="60" t="s">
        <v>9</v>
      </c>
      <c r="D64" s="60">
        <f t="shared" si="7"/>
        <v>39</v>
      </c>
      <c r="E64" s="61">
        <v>65000</v>
      </c>
      <c r="F64" s="62">
        <f t="shared" si="6"/>
        <v>2535000</v>
      </c>
    </row>
    <row r="65" spans="1:6" ht="85.5" x14ac:dyDescent="0.25">
      <c r="A65" s="58" t="s">
        <v>88</v>
      </c>
      <c r="B65" s="59" t="s">
        <v>89</v>
      </c>
      <c r="C65" s="60" t="s">
        <v>9</v>
      </c>
      <c r="D65" s="60">
        <f t="shared" si="7"/>
        <v>6</v>
      </c>
      <c r="E65" s="61">
        <v>289300</v>
      </c>
      <c r="F65" s="62">
        <f t="shared" si="6"/>
        <v>1735800</v>
      </c>
    </row>
    <row r="66" spans="1:6" ht="71.25" x14ac:dyDescent="0.25">
      <c r="A66" s="58" t="s">
        <v>90</v>
      </c>
      <c r="B66" s="59" t="s">
        <v>91</v>
      </c>
      <c r="C66" s="60" t="s">
        <v>9</v>
      </c>
      <c r="D66" s="60">
        <v>10</v>
      </c>
      <c r="E66" s="61">
        <v>156400</v>
      </c>
      <c r="F66" s="62">
        <f t="shared" si="6"/>
        <v>1564000</v>
      </c>
    </row>
    <row r="67" spans="1:6" ht="57" x14ac:dyDescent="0.25">
      <c r="A67" s="58" t="s">
        <v>92</v>
      </c>
      <c r="B67" s="59" t="s">
        <v>93</v>
      </c>
      <c r="C67" s="60" t="s">
        <v>9</v>
      </c>
      <c r="D67" s="60">
        <f>+D52</f>
        <v>11</v>
      </c>
      <c r="E67" s="61">
        <v>51850</v>
      </c>
      <c r="F67" s="62">
        <f t="shared" si="6"/>
        <v>570350</v>
      </c>
    </row>
    <row r="68" spans="1:6" x14ac:dyDescent="0.25">
      <c r="A68" s="58"/>
      <c r="B68" s="59"/>
      <c r="C68" s="60"/>
      <c r="D68" s="60"/>
      <c r="E68" s="61"/>
      <c r="F68" s="62"/>
    </row>
    <row r="69" spans="1:6" ht="27.75" x14ac:dyDescent="0.3">
      <c r="A69" s="63"/>
      <c r="B69" s="18" t="s">
        <v>94</v>
      </c>
      <c r="C69" s="3"/>
      <c r="D69" s="3"/>
      <c r="E69" s="3"/>
      <c r="F69" s="56"/>
    </row>
    <row r="70" spans="1:6" ht="399" x14ac:dyDescent="0.3">
      <c r="A70" s="63"/>
      <c r="B70" s="57" t="s">
        <v>95</v>
      </c>
      <c r="C70" s="3"/>
      <c r="D70" s="3"/>
      <c r="E70" s="3"/>
      <c r="F70" s="4"/>
    </row>
    <row r="71" spans="1:6" ht="27.75" x14ac:dyDescent="0.3">
      <c r="A71" s="63">
        <v>5.0199999999999996</v>
      </c>
      <c r="B71" s="18" t="s">
        <v>96</v>
      </c>
      <c r="C71" s="3"/>
      <c r="D71" s="3"/>
      <c r="E71" s="3"/>
      <c r="F71" s="56"/>
    </row>
    <row r="72" spans="1:6" ht="114" x14ac:dyDescent="0.3">
      <c r="A72" s="63"/>
      <c r="B72" s="57" t="s">
        <v>97</v>
      </c>
      <c r="C72" s="3"/>
      <c r="D72" s="3"/>
      <c r="E72" s="3"/>
      <c r="F72" s="4"/>
    </row>
    <row r="73" spans="1:6" ht="114" x14ac:dyDescent="0.25">
      <c r="A73" s="58" t="s">
        <v>98</v>
      </c>
      <c r="B73" s="59" t="s">
        <v>99</v>
      </c>
      <c r="C73" s="60" t="s">
        <v>9</v>
      </c>
      <c r="D73" s="60">
        <v>72</v>
      </c>
      <c r="E73" s="61">
        <v>140000</v>
      </c>
      <c r="F73" s="62">
        <f t="shared" ref="F73:F74" si="8">+E73*D73</f>
        <v>10080000</v>
      </c>
    </row>
    <row r="74" spans="1:6" ht="99.75" x14ac:dyDescent="0.25">
      <c r="A74" s="58" t="s">
        <v>100</v>
      </c>
      <c r="B74" s="59" t="s">
        <v>101</v>
      </c>
      <c r="C74" s="60" t="s">
        <v>9</v>
      </c>
      <c r="D74" s="60">
        <v>2</v>
      </c>
      <c r="E74" s="61">
        <v>182607</v>
      </c>
      <c r="F74" s="62">
        <f t="shared" si="8"/>
        <v>365214</v>
      </c>
    </row>
    <row r="75" spans="1:6" ht="41.25" x14ac:dyDescent="0.3">
      <c r="A75" s="63"/>
      <c r="B75" s="18" t="s">
        <v>102</v>
      </c>
      <c r="C75" s="3"/>
      <c r="D75" s="3"/>
      <c r="E75" s="3"/>
      <c r="F75" s="4"/>
    </row>
    <row r="76" spans="1:6" ht="156.75" x14ac:dyDescent="0.25">
      <c r="A76" s="58" t="s">
        <v>103</v>
      </c>
      <c r="B76" s="59" t="s">
        <v>104</v>
      </c>
      <c r="C76" s="60" t="s">
        <v>9</v>
      </c>
      <c r="D76" s="60">
        <v>53</v>
      </c>
      <c r="E76" s="61">
        <v>145000</v>
      </c>
      <c r="F76" s="62">
        <f>+E76*D76</f>
        <v>7685000</v>
      </c>
    </row>
    <row r="77" spans="1:6" ht="54.75" x14ac:dyDescent="0.3">
      <c r="A77" s="63">
        <v>5.04</v>
      </c>
      <c r="B77" s="18" t="s">
        <v>105</v>
      </c>
      <c r="C77" s="3"/>
      <c r="D77" s="3"/>
      <c r="E77" s="3"/>
      <c r="F77" s="56"/>
    </row>
    <row r="78" spans="1:6" ht="27.75" x14ac:dyDescent="0.3">
      <c r="A78" s="63"/>
      <c r="B78" s="18" t="s">
        <v>106</v>
      </c>
      <c r="C78" s="3"/>
      <c r="D78" s="3"/>
      <c r="E78" s="3"/>
      <c r="F78" s="4"/>
    </row>
    <row r="79" spans="1:6" ht="42.75" x14ac:dyDescent="0.25">
      <c r="A79" s="58" t="s">
        <v>107</v>
      </c>
      <c r="B79" s="59" t="s">
        <v>108</v>
      </c>
      <c r="C79" s="60" t="s">
        <v>109</v>
      </c>
      <c r="D79" s="60">
        <v>3</v>
      </c>
      <c r="E79" s="61">
        <v>835900</v>
      </c>
      <c r="F79" s="62">
        <f>+E79*D79</f>
        <v>2507700</v>
      </c>
    </row>
    <row r="80" spans="1:6" ht="27.75" x14ac:dyDescent="0.3">
      <c r="A80" s="63"/>
      <c r="B80" s="18" t="s">
        <v>110</v>
      </c>
      <c r="C80" s="3"/>
      <c r="D80" s="3"/>
      <c r="E80" s="3"/>
      <c r="F80" s="4"/>
    </row>
    <row r="81" spans="1:6" ht="27.75" x14ac:dyDescent="0.3">
      <c r="A81" s="64">
        <v>5.0599999999999996</v>
      </c>
      <c r="B81" s="65" t="s">
        <v>111</v>
      </c>
      <c r="C81" s="3"/>
      <c r="D81" s="3"/>
      <c r="E81" s="3"/>
      <c r="F81" s="4"/>
    </row>
    <row r="82" spans="1:6" ht="108.75" x14ac:dyDescent="0.3">
      <c r="A82" s="63">
        <v>5.0599999999999996</v>
      </c>
      <c r="B82" s="18" t="s">
        <v>112</v>
      </c>
      <c r="C82" s="3"/>
      <c r="D82" s="3"/>
      <c r="E82" s="3"/>
      <c r="F82" s="4"/>
    </row>
    <row r="83" spans="1:6" ht="42.75" x14ac:dyDescent="0.25">
      <c r="A83" s="58" t="s">
        <v>113</v>
      </c>
      <c r="B83" s="59" t="s">
        <v>114</v>
      </c>
      <c r="C83" s="60" t="s">
        <v>9</v>
      </c>
      <c r="D83" s="60">
        <v>47</v>
      </c>
      <c r="E83" s="61">
        <v>305000</v>
      </c>
      <c r="F83" s="62">
        <f t="shared" ref="F83:F90" si="9">+E83*D83</f>
        <v>14335000</v>
      </c>
    </row>
    <row r="84" spans="1:6" ht="28.5" x14ac:dyDescent="0.25">
      <c r="A84" s="58" t="s">
        <v>115</v>
      </c>
      <c r="B84" s="59" t="s">
        <v>116</v>
      </c>
      <c r="C84" s="60" t="s">
        <v>9</v>
      </c>
      <c r="D84" s="60">
        <v>61</v>
      </c>
      <c r="E84" s="61">
        <v>28400</v>
      </c>
      <c r="F84" s="62">
        <f t="shared" si="9"/>
        <v>1732400</v>
      </c>
    </row>
    <row r="85" spans="1:6" ht="57" x14ac:dyDescent="0.25">
      <c r="A85" s="58" t="s">
        <v>117</v>
      </c>
      <c r="B85" s="59" t="s">
        <v>118</v>
      </c>
      <c r="C85" s="60" t="s">
        <v>9</v>
      </c>
      <c r="D85" s="60">
        <v>6</v>
      </c>
      <c r="E85" s="61">
        <v>345900</v>
      </c>
      <c r="F85" s="62">
        <f t="shared" si="9"/>
        <v>2075400</v>
      </c>
    </row>
    <row r="86" spans="1:6" ht="28.5" x14ac:dyDescent="0.25">
      <c r="A86" s="58" t="s">
        <v>119</v>
      </c>
      <c r="B86" s="59" t="s">
        <v>120</v>
      </c>
      <c r="C86" s="60" t="s">
        <v>9</v>
      </c>
      <c r="D86" s="60">
        <v>8</v>
      </c>
      <c r="E86" s="61">
        <v>305000</v>
      </c>
      <c r="F86" s="62">
        <f t="shared" si="9"/>
        <v>2440000</v>
      </c>
    </row>
    <row r="87" spans="1:6" ht="28.5" x14ac:dyDescent="0.25">
      <c r="A87" s="58" t="s">
        <v>121</v>
      </c>
      <c r="B87" s="59" t="s">
        <v>122</v>
      </c>
      <c r="C87" s="60" t="s">
        <v>9</v>
      </c>
      <c r="D87" s="60">
        <v>116</v>
      </c>
      <c r="E87" s="61">
        <v>34200</v>
      </c>
      <c r="F87" s="62">
        <f t="shared" si="9"/>
        <v>3967200</v>
      </c>
    </row>
    <row r="88" spans="1:6" ht="28.5" x14ac:dyDescent="0.25">
      <c r="A88" s="58" t="s">
        <v>123</v>
      </c>
      <c r="B88" s="59" t="s">
        <v>124</v>
      </c>
      <c r="C88" s="60" t="s">
        <v>9</v>
      </c>
      <c r="D88" s="60">
        <v>13</v>
      </c>
      <c r="E88" s="61">
        <v>253800</v>
      </c>
      <c r="F88" s="62">
        <f t="shared" si="9"/>
        <v>3299400</v>
      </c>
    </row>
    <row r="89" spans="1:6" x14ac:dyDescent="0.25">
      <c r="A89" s="58" t="s">
        <v>125</v>
      </c>
      <c r="B89" s="59" t="s">
        <v>126</v>
      </c>
      <c r="C89" s="60" t="s">
        <v>9</v>
      </c>
      <c r="D89" s="60">
        <v>1</v>
      </c>
      <c r="E89" s="61">
        <v>785000</v>
      </c>
      <c r="F89" s="62">
        <f t="shared" si="9"/>
        <v>785000</v>
      </c>
    </row>
    <row r="90" spans="1:6" ht="42.75" x14ac:dyDescent="0.25">
      <c r="A90" s="58" t="s">
        <v>127</v>
      </c>
      <c r="B90" s="59" t="s">
        <v>128</v>
      </c>
      <c r="C90" s="60" t="s">
        <v>9</v>
      </c>
      <c r="D90" s="60">
        <v>1</v>
      </c>
      <c r="E90" s="61">
        <v>1350000</v>
      </c>
      <c r="F90" s="62">
        <f t="shared" si="9"/>
        <v>1350000</v>
      </c>
    </row>
    <row r="91" spans="1:6" ht="15.75" x14ac:dyDescent="0.3">
      <c r="A91" s="63">
        <v>5.07</v>
      </c>
      <c r="B91" s="18" t="s">
        <v>129</v>
      </c>
      <c r="C91" s="3"/>
      <c r="D91" s="3"/>
      <c r="E91" s="3"/>
      <c r="F91" s="56"/>
    </row>
    <row r="92" spans="1:6" x14ac:dyDescent="0.25">
      <c r="A92" s="58" t="s">
        <v>130</v>
      </c>
      <c r="B92" s="59" t="s">
        <v>131</v>
      </c>
      <c r="C92" s="60" t="s">
        <v>9</v>
      </c>
      <c r="D92" s="60">
        <v>1</v>
      </c>
      <c r="E92" s="61">
        <v>4455000</v>
      </c>
      <c r="F92" s="62">
        <f t="shared" ref="F92:F94" si="10">+E92*D92</f>
        <v>4455000</v>
      </c>
    </row>
    <row r="93" spans="1:6" ht="42.75" x14ac:dyDescent="0.25">
      <c r="A93" s="58" t="s">
        <v>132</v>
      </c>
      <c r="B93" s="59" t="s">
        <v>133</v>
      </c>
      <c r="C93" s="60" t="s">
        <v>9</v>
      </c>
      <c r="D93" s="60">
        <v>1</v>
      </c>
      <c r="E93" s="61">
        <v>4850000</v>
      </c>
      <c r="F93" s="62">
        <f t="shared" si="10"/>
        <v>4850000</v>
      </c>
    </row>
    <row r="94" spans="1:6" ht="42.75" x14ac:dyDescent="0.25">
      <c r="A94" s="58" t="s">
        <v>134</v>
      </c>
      <c r="B94" s="59" t="s">
        <v>135</v>
      </c>
      <c r="C94" s="60" t="s">
        <v>9</v>
      </c>
      <c r="D94" s="60">
        <v>1</v>
      </c>
      <c r="E94" s="61">
        <v>950000</v>
      </c>
      <c r="F94" s="62">
        <f t="shared" si="10"/>
        <v>950000</v>
      </c>
    </row>
    <row r="95" spans="1:6" ht="94.5" x14ac:dyDescent="0.25">
      <c r="A95" s="66"/>
      <c r="B95" s="67" t="s">
        <v>136</v>
      </c>
      <c r="C95" s="68"/>
      <c r="D95" s="68"/>
      <c r="E95" s="69"/>
      <c r="F95" s="70"/>
    </row>
    <row r="96" spans="1:6" ht="27.75" x14ac:dyDescent="0.3">
      <c r="A96" s="63">
        <v>6</v>
      </c>
      <c r="B96" s="18" t="s">
        <v>137</v>
      </c>
      <c r="C96" s="3"/>
      <c r="D96" s="3"/>
      <c r="E96" s="3"/>
      <c r="F96" s="56"/>
    </row>
    <row r="97" spans="1:6" ht="42.75" x14ac:dyDescent="0.25">
      <c r="A97" s="58">
        <v>6.01</v>
      </c>
      <c r="B97" s="59" t="s">
        <v>138</v>
      </c>
      <c r="C97" s="60" t="s">
        <v>9</v>
      </c>
      <c r="D97" s="60">
        <v>20</v>
      </c>
      <c r="E97" s="61">
        <v>115000</v>
      </c>
      <c r="F97" s="62">
        <f t="shared" ref="F97:F98" si="11">E97*D97</f>
        <v>2300000</v>
      </c>
    </row>
    <row r="98" spans="1:6" ht="57" x14ac:dyDescent="0.25">
      <c r="A98" s="58">
        <v>6.02</v>
      </c>
      <c r="B98" s="59" t="s">
        <v>139</v>
      </c>
      <c r="C98" s="60" t="s">
        <v>9</v>
      </c>
      <c r="D98" s="60">
        <v>1</v>
      </c>
      <c r="E98" s="61">
        <v>1850000</v>
      </c>
      <c r="F98" s="62">
        <f t="shared" si="11"/>
        <v>1850000</v>
      </c>
    </row>
    <row r="99" spans="1:6" ht="40.5" x14ac:dyDescent="0.25">
      <c r="A99" s="66"/>
      <c r="B99" s="67" t="s">
        <v>140</v>
      </c>
      <c r="C99" s="68"/>
      <c r="D99" s="68"/>
      <c r="E99" s="69"/>
      <c r="F99" s="70"/>
    </row>
    <row r="100" spans="1:6" ht="27.75" x14ac:dyDescent="0.3">
      <c r="A100" s="1">
        <v>8</v>
      </c>
      <c r="B100" s="18" t="s">
        <v>141</v>
      </c>
      <c r="C100" s="3"/>
      <c r="D100" s="3"/>
      <c r="E100" s="3"/>
      <c r="F100" s="4"/>
    </row>
    <row r="101" spans="1:6" ht="41.25" x14ac:dyDescent="0.3">
      <c r="A101" s="1">
        <v>8.01</v>
      </c>
      <c r="B101" s="18" t="s">
        <v>142</v>
      </c>
      <c r="C101" s="3"/>
      <c r="D101" s="3"/>
      <c r="E101" s="3"/>
      <c r="F101" s="56"/>
    </row>
    <row r="102" spans="1:6" ht="85.5" x14ac:dyDescent="0.25">
      <c r="A102" s="71" t="s">
        <v>143</v>
      </c>
      <c r="B102" s="72" t="s">
        <v>144</v>
      </c>
      <c r="C102" s="73" t="s">
        <v>9</v>
      </c>
      <c r="D102" s="74">
        <v>0</v>
      </c>
      <c r="E102" s="75">
        <v>2250000</v>
      </c>
      <c r="F102" s="76">
        <f t="shared" ref="F102:F105" si="12">+E102*D102</f>
        <v>0</v>
      </c>
    </row>
    <row r="103" spans="1:6" ht="28.5" x14ac:dyDescent="0.25">
      <c r="A103" s="71" t="s">
        <v>145</v>
      </c>
      <c r="B103" s="77" t="s">
        <v>146</v>
      </c>
      <c r="C103" s="73" t="s">
        <v>9</v>
      </c>
      <c r="D103" s="74">
        <v>1</v>
      </c>
      <c r="E103" s="75">
        <v>60000</v>
      </c>
      <c r="F103" s="76">
        <f t="shared" si="12"/>
        <v>60000</v>
      </c>
    </row>
    <row r="104" spans="1:6" ht="28.5" x14ac:dyDescent="0.25">
      <c r="A104" s="71" t="s">
        <v>147</v>
      </c>
      <c r="B104" s="77" t="s">
        <v>148</v>
      </c>
      <c r="C104" s="73" t="s">
        <v>9</v>
      </c>
      <c r="D104" s="74">
        <v>2</v>
      </c>
      <c r="E104" s="75">
        <v>155000</v>
      </c>
      <c r="F104" s="76">
        <f t="shared" si="12"/>
        <v>310000</v>
      </c>
    </row>
    <row r="105" spans="1:6" ht="28.5" x14ac:dyDescent="0.25">
      <c r="A105" s="71" t="s">
        <v>149</v>
      </c>
      <c r="B105" s="77" t="s">
        <v>150</v>
      </c>
      <c r="C105" s="73" t="s">
        <v>9</v>
      </c>
      <c r="D105" s="74">
        <v>2</v>
      </c>
      <c r="E105" s="75">
        <v>30000</v>
      </c>
      <c r="F105" s="76">
        <f t="shared" si="12"/>
        <v>60000</v>
      </c>
    </row>
    <row r="106" spans="1:6" ht="27.75" x14ac:dyDescent="0.3">
      <c r="A106" s="78"/>
      <c r="B106" s="79" t="s">
        <v>151</v>
      </c>
      <c r="C106" s="78"/>
      <c r="D106" s="80"/>
      <c r="E106" s="78"/>
      <c r="F106" s="81"/>
    </row>
    <row r="107" spans="1:6" ht="15.75" x14ac:dyDescent="0.3">
      <c r="A107" s="1">
        <v>8.02</v>
      </c>
      <c r="B107" s="18" t="s">
        <v>152</v>
      </c>
      <c r="C107" s="3"/>
      <c r="D107" s="3"/>
      <c r="E107" s="3"/>
      <c r="F107" s="4"/>
    </row>
    <row r="108" spans="1:6" ht="57" x14ac:dyDescent="0.25">
      <c r="A108" s="82" t="s">
        <v>153</v>
      </c>
      <c r="B108" s="59" t="s">
        <v>154</v>
      </c>
      <c r="C108" s="60" t="s">
        <v>7</v>
      </c>
      <c r="D108" s="60">
        <v>1</v>
      </c>
      <c r="E108" s="60">
        <v>650000</v>
      </c>
      <c r="F108" s="62">
        <f>E108*D108</f>
        <v>650000</v>
      </c>
    </row>
    <row r="109" spans="1:6" ht="15.75" x14ac:dyDescent="0.3">
      <c r="A109" s="12"/>
      <c r="B109" s="27" t="s">
        <v>155</v>
      </c>
      <c r="C109" s="28"/>
      <c r="D109" s="83"/>
      <c r="E109" s="29"/>
      <c r="F109" s="84"/>
    </row>
    <row r="110" spans="1:6" ht="27.75" x14ac:dyDescent="0.3">
      <c r="A110" s="1">
        <v>8.0299999999999994</v>
      </c>
      <c r="B110" s="18" t="s">
        <v>156</v>
      </c>
      <c r="C110" s="3"/>
      <c r="D110" s="126" t="s">
        <v>157</v>
      </c>
      <c r="E110" s="127"/>
      <c r="F110" s="128"/>
    </row>
    <row r="111" spans="1:6" ht="28.5" x14ac:dyDescent="0.3">
      <c r="A111" s="85" t="s">
        <v>158</v>
      </c>
      <c r="B111" s="86" t="s">
        <v>159</v>
      </c>
      <c r="C111" s="87" t="s">
        <v>9</v>
      </c>
      <c r="D111" s="88">
        <v>15</v>
      </c>
      <c r="E111" s="89">
        <v>285900</v>
      </c>
      <c r="F111" s="90">
        <f t="shared" ref="F111:F112" si="13">+E111*D111</f>
        <v>4288500</v>
      </c>
    </row>
    <row r="112" spans="1:6" ht="42.75" x14ac:dyDescent="0.3">
      <c r="A112" s="85" t="s">
        <v>158</v>
      </c>
      <c r="B112" s="86" t="s">
        <v>160</v>
      </c>
      <c r="C112" s="87" t="s">
        <v>9</v>
      </c>
      <c r="D112" s="88">
        <v>4</v>
      </c>
      <c r="E112" s="89">
        <v>225000</v>
      </c>
      <c r="F112" s="90">
        <f t="shared" si="13"/>
        <v>900000</v>
      </c>
    </row>
    <row r="113" spans="1:6" ht="15.75" x14ac:dyDescent="0.3">
      <c r="A113" s="12"/>
      <c r="B113" s="27" t="s">
        <v>161</v>
      </c>
      <c r="C113" s="28"/>
      <c r="D113" s="83"/>
      <c r="E113" s="29"/>
      <c r="F113" s="84"/>
    </row>
    <row r="114" spans="1:6" ht="41.25" x14ac:dyDescent="0.3">
      <c r="A114" s="91">
        <v>10</v>
      </c>
      <c r="B114" s="18" t="s">
        <v>162</v>
      </c>
      <c r="C114" s="3"/>
      <c r="D114" s="3"/>
      <c r="E114" s="3"/>
      <c r="F114" s="56"/>
    </row>
    <row r="115" spans="1:6" ht="28.5" x14ac:dyDescent="0.25">
      <c r="A115" s="92">
        <v>10.01</v>
      </c>
      <c r="B115" s="93" t="s">
        <v>163</v>
      </c>
      <c r="C115" s="94" t="s">
        <v>3</v>
      </c>
      <c r="D115" s="95">
        <f>(3.57+2.85+5+1.2)*2.2</f>
        <v>27.763999999999999</v>
      </c>
      <c r="E115" s="96">
        <f>60000*1.45</f>
        <v>87000</v>
      </c>
      <c r="F115" s="97">
        <f t="shared" ref="F115:F117" si="14">E115*D115</f>
        <v>2415468</v>
      </c>
    </row>
    <row r="116" spans="1:6" ht="28.5" x14ac:dyDescent="0.25">
      <c r="A116" s="92">
        <v>10.02</v>
      </c>
      <c r="B116" s="93" t="s">
        <v>164</v>
      </c>
      <c r="C116" s="94" t="s">
        <v>17</v>
      </c>
      <c r="D116" s="95">
        <v>75</v>
      </c>
      <c r="E116" s="96">
        <v>22400</v>
      </c>
      <c r="F116" s="97">
        <f t="shared" si="14"/>
        <v>1680000</v>
      </c>
    </row>
    <row r="117" spans="1:6" ht="256.5" x14ac:dyDescent="0.25">
      <c r="A117" s="92">
        <v>10.039999999999999</v>
      </c>
      <c r="B117" s="93" t="s">
        <v>165</v>
      </c>
      <c r="C117" s="94" t="s">
        <v>9</v>
      </c>
      <c r="D117" s="95">
        <v>4</v>
      </c>
      <c r="E117" s="96">
        <v>2695000</v>
      </c>
      <c r="F117" s="97">
        <f t="shared" si="14"/>
        <v>10780000</v>
      </c>
    </row>
    <row r="118" spans="1:6" ht="28.5" x14ac:dyDescent="0.25">
      <c r="A118" s="92"/>
      <c r="B118" s="93" t="s">
        <v>166</v>
      </c>
      <c r="C118" s="94" t="s">
        <v>0</v>
      </c>
      <c r="D118" s="95">
        <v>1</v>
      </c>
      <c r="E118" s="96">
        <v>1450000</v>
      </c>
      <c r="F118" s="97">
        <f>D118*E118</f>
        <v>1450000</v>
      </c>
    </row>
    <row r="119" spans="1:6" ht="27.75" x14ac:dyDescent="0.3">
      <c r="A119" s="12"/>
      <c r="B119" s="48" t="s">
        <v>167</v>
      </c>
      <c r="C119" s="98"/>
      <c r="D119" s="98"/>
      <c r="E119" s="98"/>
      <c r="F119" s="99"/>
    </row>
    <row r="120" spans="1:6" ht="15.75" x14ac:dyDescent="0.3">
      <c r="A120" s="1">
        <v>11</v>
      </c>
      <c r="B120" s="18" t="s">
        <v>168</v>
      </c>
      <c r="C120" s="3"/>
      <c r="D120" s="3"/>
      <c r="E120" s="3"/>
      <c r="F120" s="4"/>
    </row>
    <row r="121" spans="1:6" x14ac:dyDescent="0.25">
      <c r="A121" s="42">
        <v>11.01</v>
      </c>
      <c r="B121" s="43" t="s">
        <v>169</v>
      </c>
      <c r="C121" s="44" t="s">
        <v>3</v>
      </c>
      <c r="D121" s="45">
        <v>66</v>
      </c>
      <c r="E121" s="46">
        <v>37200</v>
      </c>
      <c r="F121" s="47">
        <f t="shared" ref="F121:F125" si="15">E121*D121</f>
        <v>2455200</v>
      </c>
    </row>
    <row r="122" spans="1:6" x14ac:dyDescent="0.25">
      <c r="A122" s="42">
        <v>11.02</v>
      </c>
      <c r="B122" s="43" t="s">
        <v>170</v>
      </c>
      <c r="C122" s="44" t="s">
        <v>3</v>
      </c>
      <c r="D122" s="100">
        <v>66</v>
      </c>
      <c r="E122" s="46">
        <v>20400</v>
      </c>
      <c r="F122" s="47">
        <f t="shared" si="15"/>
        <v>1346400</v>
      </c>
    </row>
    <row r="123" spans="1:6" x14ac:dyDescent="0.25">
      <c r="A123" s="42">
        <v>11.03</v>
      </c>
      <c r="B123" s="43" t="s">
        <v>171</v>
      </c>
      <c r="C123" s="44" t="s">
        <v>3</v>
      </c>
      <c r="D123" s="100">
        <f>160*2.8</f>
        <v>448</v>
      </c>
      <c r="E123" s="46">
        <v>19200</v>
      </c>
      <c r="F123" s="47">
        <f t="shared" si="15"/>
        <v>8601600</v>
      </c>
    </row>
    <row r="124" spans="1:6" x14ac:dyDescent="0.25">
      <c r="A124" s="42">
        <v>11.04</v>
      </c>
      <c r="B124" s="43" t="s">
        <v>171</v>
      </c>
      <c r="C124" s="44" t="s">
        <v>17</v>
      </c>
      <c r="D124" s="45">
        <f>55*2.5</f>
        <v>137.5</v>
      </c>
      <c r="E124" s="46">
        <v>11520</v>
      </c>
      <c r="F124" s="47">
        <f t="shared" si="15"/>
        <v>1584000</v>
      </c>
    </row>
    <row r="125" spans="1:6" ht="42.75" x14ac:dyDescent="0.25">
      <c r="A125" s="42">
        <v>11.07</v>
      </c>
      <c r="B125" s="43" t="s">
        <v>172</v>
      </c>
      <c r="C125" s="44" t="s">
        <v>3</v>
      </c>
      <c r="D125" s="101">
        <f>+D29</f>
        <v>310</v>
      </c>
      <c r="E125" s="46">
        <v>17800</v>
      </c>
      <c r="F125" s="47">
        <f t="shared" si="15"/>
        <v>5518000</v>
      </c>
    </row>
    <row r="126" spans="1:6" ht="15.75" x14ac:dyDescent="0.3">
      <c r="A126" s="102">
        <v>1</v>
      </c>
      <c r="B126" s="103" t="s">
        <v>173</v>
      </c>
      <c r="C126" s="104"/>
      <c r="D126" s="105"/>
      <c r="E126" s="104"/>
      <c r="F126" s="105"/>
    </row>
    <row r="127" spans="1:6" ht="22.5" x14ac:dyDescent="0.25">
      <c r="A127" s="106" t="s">
        <v>38</v>
      </c>
      <c r="B127" s="107" t="s">
        <v>174</v>
      </c>
      <c r="C127" s="108" t="s">
        <v>3</v>
      </c>
      <c r="D127" s="109">
        <f>+D128*0.6</f>
        <v>57240</v>
      </c>
      <c r="E127" s="110">
        <f>3.8*4.2</f>
        <v>15.959999999999999</v>
      </c>
      <c r="F127" s="111">
        <f>+D127*E127</f>
        <v>913550.39999999991</v>
      </c>
    </row>
    <row r="128" spans="1:6" ht="78.75" x14ac:dyDescent="0.25">
      <c r="A128" s="106" t="s">
        <v>175</v>
      </c>
      <c r="B128" s="107" t="s">
        <v>176</v>
      </c>
      <c r="C128" s="112" t="s">
        <v>3</v>
      </c>
      <c r="D128" s="109">
        <v>95400</v>
      </c>
      <c r="E128" s="113">
        <f>3.8*4.2</f>
        <v>15.959999999999999</v>
      </c>
      <c r="F128" s="109">
        <f>D128*E128</f>
        <v>1522584</v>
      </c>
    </row>
    <row r="129" spans="1:6" ht="34.5" x14ac:dyDescent="0.25">
      <c r="A129" s="106" t="s">
        <v>177</v>
      </c>
      <c r="B129" s="114" t="s">
        <v>178</v>
      </c>
      <c r="C129" s="112" t="s">
        <v>3</v>
      </c>
      <c r="D129" s="115">
        <v>16800</v>
      </c>
      <c r="E129" s="108">
        <f>3.94*4.2</f>
        <v>16.548000000000002</v>
      </c>
      <c r="F129" s="116">
        <f t="shared" ref="F129:F130" si="16">+D129*E129</f>
        <v>278006.40000000002</v>
      </c>
    </row>
    <row r="130" spans="1:6" ht="23.25" x14ac:dyDescent="0.25">
      <c r="A130" s="106" t="s">
        <v>179</v>
      </c>
      <c r="B130" s="114" t="s">
        <v>180</v>
      </c>
      <c r="C130" s="108" t="s">
        <v>3</v>
      </c>
      <c r="D130" s="117">
        <v>16800</v>
      </c>
      <c r="E130" s="108">
        <f>1.62*4.2</f>
        <v>6.8040000000000012</v>
      </c>
      <c r="F130" s="116">
        <f t="shared" si="16"/>
        <v>114307.20000000003</v>
      </c>
    </row>
    <row r="131" spans="1:6" ht="33.75" x14ac:dyDescent="0.25">
      <c r="A131" s="106" t="s">
        <v>181</v>
      </c>
      <c r="B131" s="107" t="s">
        <v>182</v>
      </c>
      <c r="C131" s="112" t="s">
        <v>3</v>
      </c>
      <c r="D131" s="118">
        <f>5.37*4.2</f>
        <v>22.554000000000002</v>
      </c>
      <c r="E131" s="115">
        <v>138000</v>
      </c>
      <c r="F131" s="116">
        <f>+E131*D131</f>
        <v>3112452.0000000005</v>
      </c>
    </row>
    <row r="132" spans="1:6" ht="78.75" x14ac:dyDescent="0.25">
      <c r="A132" s="119" t="s">
        <v>183</v>
      </c>
      <c r="B132" s="107" t="s">
        <v>184</v>
      </c>
      <c r="C132" s="112" t="s">
        <v>3</v>
      </c>
      <c r="D132" s="109">
        <v>95400</v>
      </c>
      <c r="E132" s="108">
        <f>8.3*3.8</f>
        <v>31.540000000000003</v>
      </c>
      <c r="F132" s="116">
        <f>+D132*E132</f>
        <v>3008916.0000000005</v>
      </c>
    </row>
    <row r="133" spans="1:6" x14ac:dyDescent="0.25">
      <c r="A133" s="123" t="s">
        <v>185</v>
      </c>
      <c r="B133" s="124"/>
      <c r="C133" s="124"/>
      <c r="D133" s="124"/>
      <c r="E133" s="125"/>
      <c r="F133" s="120">
        <f>SUM(F3:F132)</f>
        <v>328234401.69999993</v>
      </c>
    </row>
    <row r="134" spans="1:6" ht="15.75" x14ac:dyDescent="0.3">
      <c r="A134" s="129" t="s">
        <v>186</v>
      </c>
      <c r="B134" s="130"/>
      <c r="C134" s="130"/>
      <c r="D134" s="131"/>
      <c r="E134" s="121">
        <v>0.1</v>
      </c>
      <c r="F134" s="122">
        <f>E134*F133</f>
        <v>32823440.169999994</v>
      </c>
    </row>
    <row r="135" spans="1:6" ht="15.75" x14ac:dyDescent="0.3">
      <c r="A135" s="129" t="s">
        <v>187</v>
      </c>
      <c r="B135" s="130"/>
      <c r="C135" s="130"/>
      <c r="D135" s="131"/>
      <c r="E135" s="121">
        <v>0.02</v>
      </c>
      <c r="F135" s="122">
        <f>E135*F133</f>
        <v>6564688.0339999991</v>
      </c>
    </row>
    <row r="136" spans="1:6" ht="15.75" x14ac:dyDescent="0.3">
      <c r="A136" s="129" t="s">
        <v>188</v>
      </c>
      <c r="B136" s="130"/>
      <c r="C136" s="130"/>
      <c r="D136" s="131"/>
      <c r="E136" s="121">
        <v>0.03</v>
      </c>
      <c r="F136" s="122">
        <f>E136*F133</f>
        <v>9847032.0509999972</v>
      </c>
    </row>
    <row r="137" spans="1:6" ht="15.75" x14ac:dyDescent="0.3">
      <c r="A137" s="129" t="s">
        <v>189</v>
      </c>
      <c r="B137" s="130"/>
      <c r="C137" s="130"/>
      <c r="D137" s="131"/>
      <c r="E137" s="121">
        <v>0.19</v>
      </c>
      <c r="F137" s="122">
        <f>E137*F136</f>
        <v>1870936.0896899996</v>
      </c>
    </row>
    <row r="138" spans="1:6" x14ac:dyDescent="0.25">
      <c r="A138" s="123" t="s">
        <v>190</v>
      </c>
      <c r="B138" s="124"/>
      <c r="C138" s="124"/>
      <c r="D138" s="124"/>
      <c r="E138" s="125"/>
      <c r="F138" s="120">
        <f>SUM(F133:F137)</f>
        <v>379340498.04468989</v>
      </c>
    </row>
  </sheetData>
  <mergeCells count="7">
    <mergeCell ref="A138:E138"/>
    <mergeCell ref="D110:F110"/>
    <mergeCell ref="A133:E133"/>
    <mergeCell ref="A134:D134"/>
    <mergeCell ref="A135:D135"/>
    <mergeCell ref="A136:D136"/>
    <mergeCell ref="A137:D13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2026-06-04T01:01:43Z</dcterms:created>
  <dcterms:modified xsi:type="dcterms:W3CDTF">2026-06-05T03:08:01Z</dcterms:modified>
</cp:coreProperties>
</file>