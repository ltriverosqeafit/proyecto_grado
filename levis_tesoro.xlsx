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Nueva carpeta\"/>
    </mc:Choice>
  </mc:AlternateContent>
  <xr:revisionPtr revIDLastSave="0" documentId="13_ncr:1_{69CB43AC-D985-41F6-A575-180399BC00DC}" xr6:coauthVersionLast="47" xr6:coauthVersionMax="47" xr10:uidLastSave="{00000000-0000-0000-0000-000000000000}"/>
  <bookViews>
    <workbookView xWindow="4335" yWindow="3540" windowWidth="21600" windowHeight="11295" xr2:uid="{2583F20D-2572-47EC-B9AA-14F620C281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4" i="1" l="1"/>
  <c r="D83" i="1"/>
  <c r="D57" i="1"/>
  <c r="D46" i="1"/>
  <c r="D45" i="1"/>
  <c r="D44" i="1"/>
  <c r="D42" i="1"/>
  <c r="D39" i="1"/>
  <c r="D38" i="1"/>
  <c r="D25" i="1"/>
  <c r="D24" i="1"/>
  <c r="D21" i="1"/>
  <c r="D18" i="1"/>
  <c r="D15" i="1"/>
  <c r="D11" i="1"/>
  <c r="D9" i="1"/>
  <c r="D4" i="1"/>
  <c r="D3" i="1"/>
  <c r="E81" i="1"/>
  <c r="E80" i="1"/>
  <c r="E79" i="1"/>
  <c r="E55" i="1"/>
  <c r="E52" i="1"/>
  <c r="E44" i="1"/>
  <c r="E18" i="1"/>
  <c r="E14" i="1"/>
  <c r="E13" i="1"/>
  <c r="E9" i="1"/>
  <c r="E8" i="1"/>
  <c r="E7" i="1"/>
  <c r="E4" i="1"/>
  <c r="E3" i="1"/>
  <c r="F77" i="1"/>
  <c r="F76" i="1"/>
  <c r="F74" i="1"/>
  <c r="F73" i="1"/>
  <c r="F71" i="1"/>
  <c r="F70" i="1"/>
  <c r="F69" i="1"/>
  <c r="F68" i="1"/>
  <c r="F67" i="1"/>
  <c r="F65" i="1"/>
  <c r="F63" i="1"/>
  <c r="F61" i="1"/>
  <c r="F60" i="1"/>
  <c r="F59" i="1"/>
  <c r="F58" i="1"/>
  <c r="F56" i="1"/>
  <c r="F53" i="1"/>
  <c r="F41" i="1"/>
  <c r="F40" i="1"/>
  <c r="F35" i="1"/>
  <c r="F34" i="1"/>
  <c r="F32" i="1"/>
  <c r="F31" i="1"/>
  <c r="F30" i="1"/>
  <c r="F29" i="1"/>
  <c r="F28" i="1"/>
  <c r="F27" i="1"/>
  <c r="F23" i="1"/>
  <c r="F20" i="1"/>
  <c r="F19" i="1"/>
  <c r="F16" i="1"/>
  <c r="F12" i="1"/>
  <c r="F10" i="1"/>
  <c r="F6" i="1"/>
  <c r="F5" i="1"/>
  <c r="D62" i="1" l="1"/>
  <c r="D48" i="1"/>
  <c r="D37" i="1"/>
  <c r="D66" i="1"/>
  <c r="D49" i="1"/>
  <c r="F13" i="1"/>
  <c r="F81" i="1"/>
  <c r="F80" i="1"/>
  <c r="F79" i="1"/>
  <c r="F46" i="1"/>
  <c r="F45" i="1"/>
  <c r="F44" i="1"/>
  <c r="F39" i="1"/>
  <c r="F38" i="1"/>
  <c r="F25" i="1"/>
  <c r="F24" i="1"/>
  <c r="F18" i="1"/>
  <c r="F15" i="1"/>
  <c r="F14" i="1"/>
  <c r="F9" i="1"/>
  <c r="F4" i="1"/>
  <c r="F62" i="1"/>
  <c r="F57" i="1"/>
  <c r="F55" i="1"/>
  <c r="F52" i="1"/>
  <c r="F42" i="1"/>
  <c r="F21" i="1"/>
  <c r="F8" i="1"/>
  <c r="F7" i="1"/>
  <c r="F3" i="1"/>
  <c r="F84" i="1"/>
  <c r="F66" i="1" l="1"/>
  <c r="F37" i="1"/>
  <c r="F49" i="1"/>
  <c r="F48" i="1"/>
  <c r="E11" i="1" l="1"/>
  <c r="F11" i="1"/>
  <c r="E83" i="1"/>
  <c r="F83" i="1"/>
</calcChain>
</file>

<file path=xl/sharedStrings.xml><?xml version="1.0" encoding="utf-8"?>
<sst xmlns="http://schemas.openxmlformats.org/spreadsheetml/2006/main" count="232" uniqueCount="169">
  <si>
    <t>1.</t>
  </si>
  <si>
    <t>1.01</t>
  </si>
  <si>
    <t>Cerramiento Provisional con montaje de Banner</t>
  </si>
  <si>
    <t>m2</t>
  </si>
  <si>
    <t>1.02</t>
  </si>
  <si>
    <t>Desmonte de paneles en madera (incluye reparación de muro y retiro de escombros)</t>
  </si>
  <si>
    <t>1.03</t>
  </si>
  <si>
    <t>Desmonte de mobiliario</t>
  </si>
  <si>
    <t>Glbl</t>
  </si>
  <si>
    <t>1.04</t>
  </si>
  <si>
    <t>Retiro de mobiliario a botadero</t>
  </si>
  <si>
    <t>1.05</t>
  </si>
  <si>
    <t>Desmantelamiento de Red Eléctrica</t>
  </si>
  <si>
    <t>Glb</t>
  </si>
  <si>
    <t>1.06</t>
  </si>
  <si>
    <t>Desmantelamiento Red De Aire Acondicionado</t>
  </si>
  <si>
    <t>1.07</t>
  </si>
  <si>
    <t>Desmonte de drywall (incluye reparación de muro y retiro de escombros)</t>
  </si>
  <si>
    <t>1.08</t>
  </si>
  <si>
    <t>Desmonte de cuadros iluminados</t>
  </si>
  <si>
    <t>Un</t>
  </si>
  <si>
    <t>1.09</t>
  </si>
  <si>
    <t>Apertura de hueco en placa para escalera</t>
  </si>
  <si>
    <t>m3</t>
  </si>
  <si>
    <t>1.10</t>
  </si>
  <si>
    <t>Desmonte aviso existente en fachada</t>
  </si>
  <si>
    <t>1.11</t>
  </si>
  <si>
    <t>Desmantelamiento de fachada</t>
  </si>
  <si>
    <t>Ad</t>
  </si>
  <si>
    <t>Desmantelamiento Escalera</t>
  </si>
  <si>
    <t>glb</t>
  </si>
  <si>
    <t>Desmantelamiento Vidrios mezaninen Clor Blue</t>
  </si>
  <si>
    <t>Retiro de escombros</t>
  </si>
  <si>
    <t>Mampostería</t>
  </si>
  <si>
    <t>2.1.01</t>
  </si>
  <si>
    <t>Suministro e instalación de muro en bloque de concreto sin revocar</t>
  </si>
  <si>
    <t>2.1.02</t>
  </si>
  <si>
    <t>Anclajes epoxicos MAMPOSTERIA   </t>
  </si>
  <si>
    <t>2.1.03</t>
  </si>
  <si>
    <t>Dovelas en concreto 3000 Psi MAMPOSTERIA   </t>
  </si>
  <si>
    <t>2.1.04</t>
  </si>
  <si>
    <t>Suministro de materiales y revocada de muro en mamposteria</t>
  </si>
  <si>
    <t>2.2.01</t>
  </si>
  <si>
    <t xml:space="preserve">Resane de placa en mezanine </t>
  </si>
  <si>
    <t>2.2.02</t>
  </si>
  <si>
    <t>Pintura vinilo tipo 1  ( 3 manos)</t>
  </si>
  <si>
    <t>2.2.03</t>
  </si>
  <si>
    <t>Aplicación de pintura en techos</t>
  </si>
  <si>
    <t>Fachada</t>
  </si>
  <si>
    <t>2.3.01</t>
  </si>
  <si>
    <t>Suministro e instalación de dintel a 3 caras (1 cara superboard, 1 cara en Drywall y techo en Drywall)</t>
  </si>
  <si>
    <t xml:space="preserve">m </t>
  </si>
  <si>
    <t>2.3.02</t>
  </si>
  <si>
    <t>Suministro e instalación fachada de acuerdo a diseño (3 hojas de cuadricula, fijo liso,. Vidrio templado de 10mm h=2,80m)</t>
  </si>
  <si>
    <t>2.3.03</t>
  </si>
  <si>
    <t>Suministro e instalación de cortina microperforado</t>
  </si>
  <si>
    <t>2.3.04</t>
  </si>
  <si>
    <t>Suministro e instalación de incrustraciones en piso</t>
  </si>
  <si>
    <t>2.3.05</t>
  </si>
  <si>
    <t>Reparacion de microcemento piso</t>
  </si>
  <si>
    <t>2.3.06</t>
  </si>
  <si>
    <t>Recubrimiento de microcemento para dintel aviso de fachada</t>
  </si>
  <si>
    <t>2.4.01</t>
  </si>
  <si>
    <t>Readecuación de Tablero Eléctrico</t>
  </si>
  <si>
    <t>2.4.02</t>
  </si>
  <si>
    <t>Salida para antena desde muro lateral</t>
  </si>
  <si>
    <t xml:space="preserve">Un  </t>
  </si>
  <si>
    <t>3.1.01</t>
  </si>
  <si>
    <t>Resanes generales de muros y techos por desmonte</t>
  </si>
  <si>
    <t>3.1.02</t>
  </si>
  <si>
    <t>Suministro e instalación de muro doble cara en Superboard</t>
  </si>
  <si>
    <t>3.1.03</t>
  </si>
  <si>
    <t>Suministro e instalación lineales en Superboard</t>
  </si>
  <si>
    <t>m</t>
  </si>
  <si>
    <t>3.1.04</t>
  </si>
  <si>
    <t>Instalación Vidrio/Puerta Bodega (incluye marco y refuerzos)</t>
  </si>
  <si>
    <t>3.1.05</t>
  </si>
  <si>
    <t>Resane y relleno de muro por desmonte de tablero existente</t>
  </si>
  <si>
    <t>3.1.06</t>
  </si>
  <si>
    <t>Refuerzos lineales para fachada</t>
  </si>
  <si>
    <t>3.2.01</t>
  </si>
  <si>
    <t>Fachada en vidrio templado 10mm con tocetos aluminio</t>
  </si>
  <si>
    <t>3.2.02</t>
  </si>
  <si>
    <t>Detalle de división entre locales, incluye enchape</t>
  </si>
  <si>
    <t>3.2.03</t>
  </si>
  <si>
    <t>Dintel en fachada</t>
  </si>
  <si>
    <t>PINTURA</t>
  </si>
  <si>
    <t>3.3.01</t>
  </si>
  <si>
    <t>3.3.02</t>
  </si>
  <si>
    <t>REDES ELÉCTRICAS</t>
  </si>
  <si>
    <t>3.4.1</t>
  </si>
  <si>
    <t>tableros y acometidas</t>
  </si>
  <si>
    <t>3.4.1.01</t>
  </si>
  <si>
    <t>Suministro e instalación tablero Eléctrico 24 circuitos</t>
  </si>
  <si>
    <t>3.4.1.02</t>
  </si>
  <si>
    <t>Suministro e instalación de salida eléctrica para tomas incluidas antenas y aires acondicionados</t>
  </si>
  <si>
    <t>3.4.2</t>
  </si>
  <si>
    <t xml:space="preserve">Iluminación </t>
  </si>
  <si>
    <t/>
  </si>
  <si>
    <t>3.4.2.01</t>
  </si>
  <si>
    <t>Suministro e instalación de caja de control para iluminación con interruptor plano.</t>
  </si>
  <si>
    <t>3.4.2.02</t>
  </si>
  <si>
    <t>Suministro e instalación para salida eléctrica para iluminación normal en tubería PVC y cable n 12 libre de halógenos.</t>
  </si>
  <si>
    <t>3.4.2.03</t>
  </si>
  <si>
    <t>Suministro, armado e instalación de estructura metálica para iluminación tipo chanel ranurado con sus respectivos herrajes con pintura electroestática color blanco satinado.</t>
  </si>
  <si>
    <t>3.4.2.04</t>
  </si>
  <si>
    <t>Instalación  de lámparas para empotrar o sobreponer (vestieres 3 pasillo 3 segudo piso 5)</t>
  </si>
  <si>
    <t>3.4.2.05</t>
  </si>
  <si>
    <t>Instalación de lámparas para iluminación tipo reflector</t>
  </si>
  <si>
    <t>3.4.2.06</t>
  </si>
  <si>
    <t>Instalación de lámpara 2 x18 w</t>
  </si>
  <si>
    <t>3.4.2.07</t>
  </si>
  <si>
    <t>Instalación de lámpara tipo burbuja led</t>
  </si>
  <si>
    <t>3.4.2.08</t>
  </si>
  <si>
    <t>Instalación de riel para reflectores</t>
  </si>
  <si>
    <t>3.4.2.09</t>
  </si>
  <si>
    <t>Instalación Aviso Fachada</t>
  </si>
  <si>
    <t>3.4.3</t>
  </si>
  <si>
    <t>Suministros</t>
  </si>
  <si>
    <t>3.4.3.01</t>
  </si>
  <si>
    <t>Suministro Spot tipo riel par 30 12W.  Línea Económica</t>
  </si>
  <si>
    <t>3.4.3.02</t>
  </si>
  <si>
    <t>Suministro de rieles para lámpara tipo spot de dos vías, incluye transporte desde Bogotá de 1m</t>
  </si>
  <si>
    <t>3.4.3.03</t>
  </si>
  <si>
    <t>Suministro panel led par 30 pasillo vestier</t>
  </si>
  <si>
    <t>3.4.3.04</t>
  </si>
  <si>
    <t>Suministro Lampara 2x18 Bodega</t>
  </si>
  <si>
    <t>3.4.3.05</t>
  </si>
  <si>
    <t>Suministro lampara filamento Led</t>
  </si>
  <si>
    <t>3.4.3.06</t>
  </si>
  <si>
    <t>Suministro Aviso levis Fachada</t>
  </si>
  <si>
    <t>3.4.3.07</t>
  </si>
  <si>
    <t>Suministro Aviso 501</t>
  </si>
  <si>
    <t>3.4.4</t>
  </si>
  <si>
    <t>Sonido, Voz y Datos</t>
  </si>
  <si>
    <t>3.4.4.01</t>
  </si>
  <si>
    <t>Suministro e instalación de salida para sonido incluye tubería EMT de ¾, con cable guía y cajas.</t>
  </si>
  <si>
    <t>3.4.4.02</t>
  </si>
  <si>
    <t>Suministro e instalación tubería para punto de datos</t>
  </si>
  <si>
    <t>3.4.5</t>
  </si>
  <si>
    <t>Certificación retie  y otros</t>
  </si>
  <si>
    <t>3.4.5.01</t>
  </si>
  <si>
    <t>Diseño eléctrico, planos en AutoCAD firmados por Ing. Calculista para aprobación de RETIE</t>
  </si>
  <si>
    <t>3.4.5.02</t>
  </si>
  <si>
    <t xml:space="preserve">Certificación RETIE </t>
  </si>
  <si>
    <t>3.5</t>
  </si>
  <si>
    <t>Aire Acondicionado</t>
  </si>
  <si>
    <t>3.5.01</t>
  </si>
  <si>
    <t>Mantenimiento Equipo</t>
  </si>
  <si>
    <t>3.5.02</t>
  </si>
  <si>
    <t>Readecuación de ductos e Aire</t>
  </si>
  <si>
    <t>3.5.03</t>
  </si>
  <si>
    <t>Reinstalación de rejillas</t>
  </si>
  <si>
    <t>4.</t>
  </si>
  <si>
    <t>Piso</t>
  </si>
  <si>
    <t>4.01</t>
  </si>
  <si>
    <t>Aplicación de microcemento en lineales en fachada</t>
  </si>
  <si>
    <t>4.02</t>
  </si>
  <si>
    <t>Reparacion de microcemento en vestieres</t>
  </si>
  <si>
    <t>PRELIMINARES</t>
  </si>
  <si>
    <t>FACHADA</t>
  </si>
  <si>
    <t>ELECTRICO</t>
  </si>
  <si>
    <t>MUROS</t>
  </si>
  <si>
    <t>item</t>
  </si>
  <si>
    <t>descripcion</t>
  </si>
  <si>
    <t>un</t>
  </si>
  <si>
    <t>valor_unitario</t>
  </si>
  <si>
    <t>cant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</si>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</sst>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_-&quot;$&quot;* #,##0_-;\-&quot;$&quot;* #,##0_-;_-&quot;$&quot;* &quot;-&quot;??_-;_-@_-"/>
    <numFmt numFmtId="166" formatCode="0_)"/>
    <numFmt numFmtId="167" formatCode="&quot;$&quot;* #,##0.00;&quot;$&quot;* #,##0.00;_(@_)"/>
    <numFmt numFmtId="168" formatCode="_-&quot;$&quot;* #,##0.00_-;\-&quot;$&quot;* #,##0.00_-;_-&quot;$&quot;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3" fillId="0" borderId="0"/>
    <xf numFmtId="166" fontId="6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164" fontId="2" fillId="2" borderId="2" xfId="2" applyNumberFormat="1" applyFont="1" applyFill="1" applyBorder="1" applyAlignment="1">
      <alignment horizontal="center"/>
    </xf>
    <xf numFmtId="0" fontId="4" fillId="0" borderId="1" xfId="4" applyFont="1" applyBorder="1" applyAlignment="1">
      <alignment horizontal="justify" vertical="center"/>
    </xf>
    <xf numFmtId="0" fontId="4" fillId="0" borderId="1" xfId="4" applyFont="1" applyBorder="1" applyAlignment="1">
      <alignment horizontal="left" vertical="center" wrapText="1"/>
    </xf>
    <xf numFmtId="0" fontId="5" fillId="0" borderId="1" xfId="4" applyFont="1" applyBorder="1" applyAlignment="1">
      <alignment horizontal="center" vertical="center"/>
    </xf>
    <xf numFmtId="165" fontId="5" fillId="0" borderId="1" xfId="4" applyNumberFormat="1" applyFont="1" applyBorder="1" applyAlignment="1">
      <alignment horizontal="right" vertical="center"/>
    </xf>
    <xf numFmtId="2" fontId="5" fillId="0" borderId="1" xfId="1" applyNumberFormat="1" applyFont="1" applyFill="1" applyBorder="1" applyAlignment="1">
      <alignment horizontal="center" vertical="center"/>
    </xf>
    <xf numFmtId="167" fontId="4" fillId="0" borderId="1" xfId="5" applyNumberFormat="1" applyFont="1" applyBorder="1" applyAlignment="1">
      <alignment vertical="center"/>
    </xf>
    <xf numFmtId="0" fontId="5" fillId="0" borderId="1" xfId="4" applyFont="1" applyBorder="1" applyAlignment="1">
      <alignment horizontal="justify" vertical="center"/>
    </xf>
    <xf numFmtId="0" fontId="5" fillId="0" borderId="1" xfId="4" applyFont="1" applyBorder="1" applyAlignment="1">
      <alignment horizontal="left" vertical="center" wrapText="1"/>
    </xf>
    <xf numFmtId="165" fontId="5" fillId="0" borderId="1" xfId="5" applyNumberFormat="1" applyFont="1" applyBorder="1" applyAlignment="1">
      <alignment vertical="center"/>
    </xf>
    <xf numFmtId="165" fontId="0" fillId="0" borderId="1" xfId="0" applyNumberForma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165" fontId="4" fillId="0" borderId="1" xfId="5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2" fontId="5" fillId="0" borderId="2" xfId="1" applyNumberFormat="1" applyFont="1" applyFill="1" applyBorder="1" applyAlignment="1">
      <alignment horizontal="center" vertical="center"/>
    </xf>
    <xf numFmtId="165" fontId="5" fillId="0" borderId="1" xfId="2" applyNumberFormat="1" applyFont="1" applyBorder="1" applyAlignment="1">
      <alignment horizontal="right" vertical="center"/>
    </xf>
    <xf numFmtId="0" fontId="5" fillId="0" borderId="3" xfId="0" applyFont="1" applyBorder="1" applyAlignment="1">
      <alignment vertical="center" wrapText="1"/>
    </xf>
    <xf numFmtId="165" fontId="5" fillId="0" borderId="3" xfId="2" applyNumberFormat="1" applyFont="1" applyBorder="1" applyAlignment="1">
      <alignment horizontal="right" vertical="center"/>
    </xf>
    <xf numFmtId="2" fontId="5" fillId="0" borderId="3" xfId="1" applyNumberFormat="1" applyFont="1" applyFill="1" applyBorder="1" applyAlignment="1">
      <alignment horizontal="center" vertical="center"/>
    </xf>
    <xf numFmtId="0" fontId="4" fillId="0" borderId="3" xfId="4" applyFont="1" applyBorder="1" applyAlignment="1">
      <alignment horizontal="justify" vertical="center"/>
    </xf>
    <xf numFmtId="0" fontId="4" fillId="0" borderId="3" xfId="4" applyFont="1" applyBorder="1" applyAlignment="1">
      <alignment horizontal="left" vertical="center" wrapText="1"/>
    </xf>
    <xf numFmtId="0" fontId="5" fillId="0" borderId="3" xfId="4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right" vertical="center"/>
    </xf>
    <xf numFmtId="168" fontId="5" fillId="0" borderId="1" xfId="5" applyNumberFormat="1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42" fontId="0" fillId="0" borderId="1" xfId="3" applyFont="1" applyBorder="1"/>
    <xf numFmtId="2" fontId="0" fillId="0" borderId="1" xfId="0" applyNumberFormat="1" applyBorder="1" applyAlignment="1">
      <alignment horizontal="center"/>
    </xf>
  </cellXfs>
  <cellStyles count="6">
    <cellStyle name="Millares" xfId="1" builtinId="3"/>
    <cellStyle name="Moneda" xfId="2" builtinId="4"/>
    <cellStyle name="Moneda [0]" xfId="3" builtinId="7"/>
    <cellStyle name="Normal" xfId="0" builtinId="0"/>
    <cellStyle name="Normal 2" xfId="4" xr:uid="{DE1B3266-890D-4422-9CEA-5D5B2F923B7A}"/>
    <cellStyle name="Normal_LISTA S.E.D" xfId="5" xr:uid="{B19C8CE8-972E-40B9-8C43-FB8481A71F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97184-3CB6-481A-AE2A-F1B21A8F8F43}">
  <dimension ref="A1:F84"/>
  <sheetViews>
    <sheetView tabSelected="1" workbookViewId="0">
      <selection activeCell="E8" sqref="E8"/>
    </sheetView>
  </sheetViews>
  <sheetFormatPr baseColWidth="10" defaultRowHeight="15" x14ac:dyDescent="0.25"/>
  <cols>
    <col min="2" max="2" width="38.28515625" bestFit="1" customWidth="1"/>
    <col min="5" max="5" width="14.7109375" bestFit="1" customWidth="1"/>
  </cols>
  <sheetData>
    <row r="1" spans="1:6" x14ac:dyDescent="0.25">
      <c r="A1" s="1" t="s">
        <v>163</v>
      </c>
      <c r="B1" s="1" t="s">
        <v>164</v>
      </c>
      <c r="C1" s="1" t="s">
        <v>165</v>
      </c>
      <c r="D1" s="2" t="s">
        <v>167</v>
      </c>
      <c r="E1" s="2" t="s">
        <v>166</v>
      </c>
      <c r="F1" s="3" t="s">
        <v>168</v>
      </c>
    </row>
    <row r="2" spans="1:6" x14ac:dyDescent="0.25">
      <c r="A2" s="4" t="s">
        <v>0</v>
      </c>
      <c r="B2" s="5" t="s">
        <v>159</v>
      </c>
      <c r="C2" s="6"/>
      <c r="D2" s="8"/>
      <c r="E2" s="7"/>
      <c r="F2" s="9"/>
    </row>
    <row r="3" spans="1:6" x14ac:dyDescent="0.25">
      <c r="A3" s="10" t="s">
        <v>1</v>
      </c>
      <c r="B3" s="11" t="s">
        <v>2</v>
      </c>
      <c r="C3" s="6" t="s">
        <v>3</v>
      </c>
      <c r="D3" s="8">
        <f>(9.6+0.4*2)*3.71</f>
        <v>38.584000000000003</v>
      </c>
      <c r="E3" s="7">
        <f>40000*1.08</f>
        <v>43200</v>
      </c>
      <c r="F3" s="12">
        <f>D3*E3</f>
        <v>1666828.8</v>
      </c>
    </row>
    <row r="4" spans="1:6" ht="27" x14ac:dyDescent="0.25">
      <c r="A4" s="10" t="s">
        <v>4</v>
      </c>
      <c r="B4" s="11" t="s">
        <v>5</v>
      </c>
      <c r="C4" s="6" t="s">
        <v>3</v>
      </c>
      <c r="D4" s="8">
        <f>1.1*3.71*2</f>
        <v>8.1620000000000008</v>
      </c>
      <c r="E4" s="7">
        <f>8000*1.35</f>
        <v>10800</v>
      </c>
      <c r="F4" s="12">
        <f>D4*E4</f>
        <v>88149.6</v>
      </c>
    </row>
    <row r="5" spans="1:6" x14ac:dyDescent="0.25">
      <c r="A5" s="10" t="s">
        <v>6</v>
      </c>
      <c r="B5" s="11" t="s">
        <v>7</v>
      </c>
      <c r="C5" s="6" t="s">
        <v>8</v>
      </c>
      <c r="D5" s="8">
        <v>1</v>
      </c>
      <c r="E5" s="7">
        <v>600000</v>
      </c>
      <c r="F5" s="12">
        <f>D5*E5</f>
        <v>600000</v>
      </c>
    </row>
    <row r="6" spans="1:6" x14ac:dyDescent="0.25">
      <c r="A6" s="10" t="s">
        <v>9</v>
      </c>
      <c r="B6" s="11" t="s">
        <v>10</v>
      </c>
      <c r="C6" s="6" t="s">
        <v>8</v>
      </c>
      <c r="D6" s="8">
        <v>1</v>
      </c>
      <c r="E6" s="7">
        <v>800000</v>
      </c>
      <c r="F6" s="12">
        <f>D6*E6</f>
        <v>800000</v>
      </c>
    </row>
    <row r="7" spans="1:6" x14ac:dyDescent="0.25">
      <c r="A7" s="10" t="s">
        <v>11</v>
      </c>
      <c r="B7" s="11" t="s">
        <v>12</v>
      </c>
      <c r="C7" s="6" t="s">
        <v>13</v>
      </c>
      <c r="D7" s="8">
        <v>1</v>
      </c>
      <c r="E7" s="7">
        <f>800000*1.35</f>
        <v>1080000</v>
      </c>
      <c r="F7" s="12">
        <f t="shared" ref="F7:F16" si="0">D7*E7</f>
        <v>1080000</v>
      </c>
    </row>
    <row r="8" spans="1:6" x14ac:dyDescent="0.25">
      <c r="A8" s="10" t="s">
        <v>14</v>
      </c>
      <c r="B8" s="11" t="s">
        <v>15</v>
      </c>
      <c r="C8" s="6" t="s">
        <v>13</v>
      </c>
      <c r="D8" s="8">
        <v>1</v>
      </c>
      <c r="E8" s="7" t="e">
        <f>#REF!*1.19*1.35</f>
        <v>#REF!</v>
      </c>
      <c r="F8" s="12" t="e">
        <f>D8*E8</f>
        <v>#REF!</v>
      </c>
    </row>
    <row r="9" spans="1:6" ht="27" x14ac:dyDescent="0.25">
      <c r="A9" s="10" t="s">
        <v>16</v>
      </c>
      <c r="B9" s="11" t="s">
        <v>17</v>
      </c>
      <c r="C9" s="6" t="s">
        <v>3</v>
      </c>
      <c r="D9" s="8">
        <f>(1.3*5+0.5*5)*2.8+2*4.4</f>
        <v>34</v>
      </c>
      <c r="E9" s="7">
        <f>7000*1.35</f>
        <v>9450</v>
      </c>
      <c r="F9" s="12">
        <f>D9*E9</f>
        <v>321300</v>
      </c>
    </row>
    <row r="10" spans="1:6" x14ac:dyDescent="0.25">
      <c r="A10" s="10" t="s">
        <v>18</v>
      </c>
      <c r="B10" s="11" t="s">
        <v>19</v>
      </c>
      <c r="C10" s="6" t="s">
        <v>20</v>
      </c>
      <c r="D10" s="8">
        <v>2</v>
      </c>
      <c r="E10" s="7">
        <v>250000</v>
      </c>
      <c r="F10" s="12">
        <f>D10*E10</f>
        <v>500000</v>
      </c>
    </row>
    <row r="11" spans="1:6" x14ac:dyDescent="0.25">
      <c r="A11" s="10" t="s">
        <v>21</v>
      </c>
      <c r="B11" s="11" t="s">
        <v>22</v>
      </c>
      <c r="C11" s="6" t="s">
        <v>23</v>
      </c>
      <c r="D11" s="8">
        <f>2.18*1.7</f>
        <v>3.706</v>
      </c>
      <c r="E11" s="7">
        <f ca="1">((#REF!*1.6)+(H11+I11)*1.15)/F11</f>
        <v>1.1499999999999999</v>
      </c>
      <c r="F11" s="12">
        <f ca="1">D11*E11</f>
        <v>4.2618999999999998</v>
      </c>
    </row>
    <row r="12" spans="1:6" x14ac:dyDescent="0.25">
      <c r="A12" s="10" t="s">
        <v>24</v>
      </c>
      <c r="B12" s="11" t="s">
        <v>25</v>
      </c>
      <c r="C12" s="6" t="s">
        <v>20</v>
      </c>
      <c r="D12" s="8">
        <v>1</v>
      </c>
      <c r="E12" s="7">
        <v>150000</v>
      </c>
      <c r="F12" s="12">
        <f>D12*E12</f>
        <v>150000</v>
      </c>
    </row>
    <row r="13" spans="1:6" x14ac:dyDescent="0.25">
      <c r="A13" s="10" t="s">
        <v>26</v>
      </c>
      <c r="B13" s="11" t="s">
        <v>27</v>
      </c>
      <c r="C13" s="6" t="s">
        <v>13</v>
      </c>
      <c r="D13" s="8">
        <v>1</v>
      </c>
      <c r="E13" s="7">
        <f>700000*1.35</f>
        <v>945000.00000000012</v>
      </c>
      <c r="F13" s="12">
        <f t="shared" si="0"/>
        <v>945000.00000000012</v>
      </c>
    </row>
    <row r="14" spans="1:6" x14ac:dyDescent="0.25">
      <c r="A14" s="10" t="s">
        <v>28</v>
      </c>
      <c r="B14" s="11" t="s">
        <v>29</v>
      </c>
      <c r="C14" s="6" t="s">
        <v>30</v>
      </c>
      <c r="D14" s="8">
        <v>1</v>
      </c>
      <c r="E14" s="7">
        <f>750000*1.15</f>
        <v>862499.99999999988</v>
      </c>
      <c r="F14" s="12">
        <f t="shared" si="0"/>
        <v>862499.99999999988</v>
      </c>
    </row>
    <row r="15" spans="1:6" x14ac:dyDescent="0.25">
      <c r="A15" s="10" t="s">
        <v>28</v>
      </c>
      <c r="B15" s="11" t="s">
        <v>31</v>
      </c>
      <c r="C15" s="6" t="s">
        <v>30</v>
      </c>
      <c r="D15" s="8">
        <f>4.4*3.01</f>
        <v>13.244</v>
      </c>
      <c r="E15" s="7">
        <v>16800</v>
      </c>
      <c r="F15" s="12">
        <f t="shared" si="0"/>
        <v>222499.19999999998</v>
      </c>
    </row>
    <row r="16" spans="1:6" x14ac:dyDescent="0.25">
      <c r="A16" s="10" t="s">
        <v>28</v>
      </c>
      <c r="B16" s="11" t="s">
        <v>32</v>
      </c>
      <c r="C16" s="6" t="s">
        <v>30</v>
      </c>
      <c r="D16" s="8">
        <v>1</v>
      </c>
      <c r="E16" s="7">
        <v>480000</v>
      </c>
      <c r="F16" s="12">
        <f t="shared" si="0"/>
        <v>480000</v>
      </c>
    </row>
    <row r="17" spans="1:6" x14ac:dyDescent="0.25">
      <c r="A17" s="4">
        <v>2</v>
      </c>
      <c r="B17" s="5" t="s">
        <v>33</v>
      </c>
      <c r="C17" s="6"/>
      <c r="D17" s="8"/>
      <c r="E17" s="7"/>
      <c r="F17" s="12"/>
    </row>
    <row r="18" spans="1:6" ht="27" x14ac:dyDescent="0.25">
      <c r="A18" s="10" t="s">
        <v>34</v>
      </c>
      <c r="B18" s="11" t="s">
        <v>35</v>
      </c>
      <c r="C18" s="6" t="s">
        <v>3</v>
      </c>
      <c r="D18" s="8">
        <f>6.93*12.52</f>
        <v>86.763599999999997</v>
      </c>
      <c r="E18" s="7" t="e">
        <f>145328.993926794+#REF!</f>
        <v>#REF!</v>
      </c>
      <c r="F18" s="12" t="e">
        <f t="shared" ref="F18:F25" si="1">D18*E18</f>
        <v>#REF!</v>
      </c>
    </row>
    <row r="19" spans="1:6" x14ac:dyDescent="0.25">
      <c r="A19" s="10" t="s">
        <v>36</v>
      </c>
      <c r="B19" s="11" t="s">
        <v>37</v>
      </c>
      <c r="C19" s="6" t="s">
        <v>20</v>
      </c>
      <c r="D19" s="8">
        <v>44</v>
      </c>
      <c r="E19" s="7">
        <v>27779.830776515151</v>
      </c>
      <c r="F19" s="12">
        <f t="shared" si="1"/>
        <v>1222312.5541666667</v>
      </c>
    </row>
    <row r="20" spans="1:6" x14ac:dyDescent="0.25">
      <c r="A20" s="10" t="s">
        <v>38</v>
      </c>
      <c r="B20" s="11" t="s">
        <v>39</v>
      </c>
      <c r="C20" s="6" t="s">
        <v>3</v>
      </c>
      <c r="D20" s="8">
        <v>105</v>
      </c>
      <c r="E20" s="13">
        <v>45334.696593976099</v>
      </c>
      <c r="F20" s="12">
        <f t="shared" si="1"/>
        <v>4760143.1423674906</v>
      </c>
    </row>
    <row r="21" spans="1:6" ht="27" x14ac:dyDescent="0.25">
      <c r="A21" s="10" t="s">
        <v>40</v>
      </c>
      <c r="B21" s="11" t="s">
        <v>41</v>
      </c>
      <c r="C21" s="6" t="s">
        <v>3</v>
      </c>
      <c r="D21" s="8">
        <f>6.93*12.52*2</f>
        <v>173.52719999999999</v>
      </c>
      <c r="E21" s="7">
        <v>28016</v>
      </c>
      <c r="F21" s="12">
        <f>D21*E21</f>
        <v>4861538.0351999998</v>
      </c>
    </row>
    <row r="22" spans="1:6" x14ac:dyDescent="0.25">
      <c r="A22" s="4">
        <v>3</v>
      </c>
      <c r="B22" s="5" t="s">
        <v>86</v>
      </c>
      <c r="C22" s="6"/>
      <c r="D22" s="8"/>
      <c r="E22" s="7"/>
      <c r="F22" s="12"/>
    </row>
    <row r="23" spans="1:6" x14ac:dyDescent="0.25">
      <c r="A23" s="10" t="s">
        <v>42</v>
      </c>
      <c r="B23" s="14" t="s">
        <v>43</v>
      </c>
      <c r="C23" s="15" t="s">
        <v>3</v>
      </c>
      <c r="D23" s="8">
        <v>1</v>
      </c>
      <c r="E23" s="7">
        <v>150000</v>
      </c>
      <c r="F23" s="12">
        <f>D23*E23</f>
        <v>150000</v>
      </c>
    </row>
    <row r="24" spans="1:6" x14ac:dyDescent="0.25">
      <c r="A24" s="10" t="s">
        <v>44</v>
      </c>
      <c r="B24" s="11" t="s">
        <v>45</v>
      </c>
      <c r="C24" s="15" t="s">
        <v>3</v>
      </c>
      <c r="D24" s="8">
        <f>(4.4+2*12.52)*6.93</f>
        <v>204.01919999999998</v>
      </c>
      <c r="E24" s="7">
        <v>12800</v>
      </c>
      <c r="F24" s="12">
        <f t="shared" si="1"/>
        <v>2611445.7599999998</v>
      </c>
    </row>
    <row r="25" spans="1:6" x14ac:dyDescent="0.25">
      <c r="A25" s="10" t="s">
        <v>46</v>
      </c>
      <c r="B25" s="11" t="s">
        <v>47</v>
      </c>
      <c r="C25" s="15" t="s">
        <v>3</v>
      </c>
      <c r="D25" s="8">
        <f>4.4*12.52+4.4*8.21+12*0.45*8.21+24*0.45*12.52</f>
        <v>270.76200000000006</v>
      </c>
      <c r="E25" s="7">
        <v>13500</v>
      </c>
      <c r="F25" s="12">
        <f t="shared" si="1"/>
        <v>3655287.0000000009</v>
      </c>
    </row>
    <row r="26" spans="1:6" x14ac:dyDescent="0.25">
      <c r="A26" s="4">
        <v>4</v>
      </c>
      <c r="B26" s="5" t="s">
        <v>160</v>
      </c>
      <c r="C26" s="15"/>
      <c r="D26" s="8"/>
      <c r="E26" s="7"/>
      <c r="F26" s="12"/>
    </row>
    <row r="27" spans="1:6" ht="40.5" x14ac:dyDescent="0.25">
      <c r="A27" s="10" t="s">
        <v>49</v>
      </c>
      <c r="B27" s="11" t="s">
        <v>50</v>
      </c>
      <c r="C27" s="15" t="s">
        <v>51</v>
      </c>
      <c r="D27" s="8">
        <v>4.4000000000000004</v>
      </c>
      <c r="E27" s="7">
        <v>152813.88</v>
      </c>
      <c r="F27" s="12">
        <f t="shared" ref="F27:F32" si="2">D27*E27</f>
        <v>672381.07200000004</v>
      </c>
    </row>
    <row r="28" spans="1:6" ht="40.5" x14ac:dyDescent="0.25">
      <c r="A28" s="10" t="s">
        <v>52</v>
      </c>
      <c r="B28" s="11" t="s">
        <v>53</v>
      </c>
      <c r="C28" s="15" t="s">
        <v>8</v>
      </c>
      <c r="D28" s="8">
        <v>1</v>
      </c>
      <c r="E28" s="7">
        <v>4888641.7200000007</v>
      </c>
      <c r="F28" s="12">
        <f t="shared" si="2"/>
        <v>4888641.7200000007</v>
      </c>
    </row>
    <row r="29" spans="1:6" ht="27" x14ac:dyDescent="0.25">
      <c r="A29" s="10" t="s">
        <v>54</v>
      </c>
      <c r="B29" s="11" t="s">
        <v>55</v>
      </c>
      <c r="C29" s="15" t="s">
        <v>8</v>
      </c>
      <c r="D29" s="8">
        <v>1</v>
      </c>
      <c r="E29" s="7">
        <v>2299425</v>
      </c>
      <c r="F29" s="12">
        <f t="shared" si="2"/>
        <v>2299425</v>
      </c>
    </row>
    <row r="30" spans="1:6" ht="27" x14ac:dyDescent="0.25">
      <c r="A30" s="10" t="s">
        <v>56</v>
      </c>
      <c r="B30" s="11" t="s">
        <v>57</v>
      </c>
      <c r="C30" s="15" t="s">
        <v>20</v>
      </c>
      <c r="D30" s="8">
        <v>2</v>
      </c>
      <c r="E30" s="7">
        <v>96255</v>
      </c>
      <c r="F30" s="12">
        <f t="shared" si="2"/>
        <v>192510</v>
      </c>
    </row>
    <row r="31" spans="1:6" x14ac:dyDescent="0.25">
      <c r="A31" s="10" t="s">
        <v>58</v>
      </c>
      <c r="B31" s="11" t="s">
        <v>59</v>
      </c>
      <c r="C31" s="15" t="s">
        <v>8</v>
      </c>
      <c r="D31" s="8">
        <v>1</v>
      </c>
      <c r="E31" s="7">
        <v>754035.63</v>
      </c>
      <c r="F31" s="12">
        <f t="shared" si="2"/>
        <v>754035.63</v>
      </c>
    </row>
    <row r="32" spans="1:6" ht="27" x14ac:dyDescent="0.25">
      <c r="A32" s="10" t="s">
        <v>60</v>
      </c>
      <c r="B32" s="11" t="s">
        <v>61</v>
      </c>
      <c r="C32" s="15" t="s">
        <v>8</v>
      </c>
      <c r="D32" s="8">
        <v>1</v>
      </c>
      <c r="E32" s="7">
        <v>603227.76</v>
      </c>
      <c r="F32" s="12">
        <f t="shared" si="2"/>
        <v>603227.76</v>
      </c>
    </row>
    <row r="33" spans="1:6" x14ac:dyDescent="0.25">
      <c r="A33" s="4">
        <v>5</v>
      </c>
      <c r="B33" s="5" t="s">
        <v>161</v>
      </c>
      <c r="C33" s="15"/>
      <c r="D33" s="8"/>
      <c r="E33" s="7"/>
      <c r="F33" s="12"/>
    </row>
    <row r="34" spans="1:6" x14ac:dyDescent="0.25">
      <c r="A34" s="10" t="s">
        <v>62</v>
      </c>
      <c r="B34" s="14" t="s">
        <v>63</v>
      </c>
      <c r="C34" s="15" t="s">
        <v>20</v>
      </c>
      <c r="D34" s="8">
        <v>1</v>
      </c>
      <c r="E34" s="7">
        <v>680000</v>
      </c>
      <c r="F34" s="12">
        <f>D34*E34</f>
        <v>680000</v>
      </c>
    </row>
    <row r="35" spans="1:6" x14ac:dyDescent="0.25">
      <c r="A35" s="10" t="s">
        <v>64</v>
      </c>
      <c r="B35" s="11" t="s">
        <v>65</v>
      </c>
      <c r="C35" s="15" t="s">
        <v>66</v>
      </c>
      <c r="D35" s="8">
        <v>1</v>
      </c>
      <c r="E35" s="7">
        <v>124489.8</v>
      </c>
      <c r="F35" s="12">
        <f>D35*E35</f>
        <v>124489.8</v>
      </c>
    </row>
    <row r="36" spans="1:6" x14ac:dyDescent="0.25">
      <c r="A36" s="4">
        <v>6</v>
      </c>
      <c r="B36" s="5" t="s">
        <v>162</v>
      </c>
      <c r="C36" s="6"/>
      <c r="D36" s="8"/>
      <c r="E36" s="7"/>
      <c r="F36" s="12"/>
    </row>
    <row r="37" spans="1:6" ht="27" x14ac:dyDescent="0.25">
      <c r="A37" s="10" t="s">
        <v>67</v>
      </c>
      <c r="B37" s="14" t="s">
        <v>68</v>
      </c>
      <c r="C37" s="15" t="s">
        <v>3</v>
      </c>
      <c r="D37" s="8">
        <f>D5+D9</f>
        <v>35</v>
      </c>
      <c r="E37" s="7">
        <v>4000</v>
      </c>
      <c r="F37" s="12">
        <f t="shared" ref="F37:F42" si="3">D37*E37</f>
        <v>140000</v>
      </c>
    </row>
    <row r="38" spans="1:6" ht="27" x14ac:dyDescent="0.25">
      <c r="A38" s="10" t="s">
        <v>69</v>
      </c>
      <c r="B38" s="14" t="s">
        <v>70</v>
      </c>
      <c r="C38" s="15" t="s">
        <v>3</v>
      </c>
      <c r="D38" s="8">
        <f>(2.63+1.43+0.47*2+0.05+1.1*3+3.68)*3.95</f>
        <v>47.518500000000003</v>
      </c>
      <c r="E38" s="7">
        <v>120960</v>
      </c>
      <c r="F38" s="12">
        <f t="shared" si="3"/>
        <v>5747837.7600000007</v>
      </c>
    </row>
    <row r="39" spans="1:6" x14ac:dyDescent="0.25">
      <c r="A39" s="10" t="s">
        <v>71</v>
      </c>
      <c r="B39" s="14" t="s">
        <v>72</v>
      </c>
      <c r="C39" s="15" t="s">
        <v>73</v>
      </c>
      <c r="D39" s="8">
        <f>8*3.95+9*0.75</f>
        <v>38.35</v>
      </c>
      <c r="E39" s="7">
        <v>49500</v>
      </c>
      <c r="F39" s="12">
        <f t="shared" si="3"/>
        <v>1898325</v>
      </c>
    </row>
    <row r="40" spans="1:6" ht="27" x14ac:dyDescent="0.25">
      <c r="A40" s="10" t="s">
        <v>74</v>
      </c>
      <c r="B40" s="14" t="s">
        <v>75</v>
      </c>
      <c r="C40" s="15" t="s">
        <v>20</v>
      </c>
      <c r="D40" s="8">
        <v>1</v>
      </c>
      <c r="E40" s="7">
        <v>450000</v>
      </c>
      <c r="F40" s="12">
        <f t="shared" si="3"/>
        <v>450000</v>
      </c>
    </row>
    <row r="41" spans="1:6" ht="27" x14ac:dyDescent="0.25">
      <c r="A41" s="10" t="s">
        <v>76</v>
      </c>
      <c r="B41" s="14" t="s">
        <v>77</v>
      </c>
      <c r="C41" s="15" t="s">
        <v>3</v>
      </c>
      <c r="D41" s="8">
        <v>1</v>
      </c>
      <c r="E41" s="7">
        <v>150000</v>
      </c>
      <c r="F41" s="12">
        <f t="shared" si="3"/>
        <v>150000</v>
      </c>
    </row>
    <row r="42" spans="1:6" x14ac:dyDescent="0.25">
      <c r="A42" s="10" t="s">
        <v>78</v>
      </c>
      <c r="B42" s="14" t="s">
        <v>79</v>
      </c>
      <c r="C42" s="15" t="s">
        <v>73</v>
      </c>
      <c r="D42" s="8">
        <f>4.4*2</f>
        <v>8.8000000000000007</v>
      </c>
      <c r="E42" s="7">
        <v>25000</v>
      </c>
      <c r="F42" s="12">
        <f t="shared" si="3"/>
        <v>220000.00000000003</v>
      </c>
    </row>
    <row r="43" spans="1:6" x14ac:dyDescent="0.25">
      <c r="A43" s="4">
        <v>7</v>
      </c>
      <c r="B43" s="17" t="s">
        <v>48</v>
      </c>
      <c r="C43" s="15"/>
      <c r="D43" s="8"/>
      <c r="E43" s="7"/>
      <c r="F43" s="12"/>
    </row>
    <row r="44" spans="1:6" ht="27" x14ac:dyDescent="0.25">
      <c r="A44" s="10" t="s">
        <v>80</v>
      </c>
      <c r="B44" s="14" t="s">
        <v>81</v>
      </c>
      <c r="C44" s="15" t="s">
        <v>3</v>
      </c>
      <c r="D44" s="8">
        <f>2.8*4.4</f>
        <v>12.32</v>
      </c>
      <c r="E44" s="7" t="e">
        <f>(#REF!+H44)*1.07</f>
        <v>#REF!</v>
      </c>
      <c r="F44" s="12" t="e">
        <f>D44*E44</f>
        <v>#REF!</v>
      </c>
    </row>
    <row r="45" spans="1:6" x14ac:dyDescent="0.25">
      <c r="A45" s="10" t="s">
        <v>82</v>
      </c>
      <c r="B45" s="14" t="s">
        <v>83</v>
      </c>
      <c r="C45" s="15" t="s">
        <v>3</v>
      </c>
      <c r="D45" s="8">
        <f>0.8*1.28</f>
        <v>1.024</v>
      </c>
      <c r="E45" s="7">
        <v>280000</v>
      </c>
      <c r="F45" s="12">
        <f>D45*E45</f>
        <v>286720</v>
      </c>
    </row>
    <row r="46" spans="1:6" x14ac:dyDescent="0.25">
      <c r="A46" s="10" t="s">
        <v>84</v>
      </c>
      <c r="B46" s="14" t="s">
        <v>85</v>
      </c>
      <c r="C46" s="15" t="s">
        <v>3</v>
      </c>
      <c r="D46" s="8">
        <f>(6.93-2.8)*4.4+0.81*4.4+0.62*4.4</f>
        <v>24.464000000000002</v>
      </c>
      <c r="E46" s="7">
        <v>78000</v>
      </c>
      <c r="F46" s="12">
        <f>D46*E46</f>
        <v>1908192.0000000002</v>
      </c>
    </row>
    <row r="47" spans="1:6" x14ac:dyDescent="0.25">
      <c r="A47" s="4">
        <v>8</v>
      </c>
      <c r="B47" s="5" t="s">
        <v>86</v>
      </c>
      <c r="C47" s="6"/>
      <c r="D47" s="8"/>
      <c r="E47" s="7"/>
      <c r="F47" s="16"/>
    </row>
    <row r="48" spans="1:6" x14ac:dyDescent="0.25">
      <c r="A48" s="10" t="s">
        <v>87</v>
      </c>
      <c r="B48" s="11" t="s">
        <v>45</v>
      </c>
      <c r="C48" s="6" t="s">
        <v>3</v>
      </c>
      <c r="D48" s="8">
        <f>D24+D38+(6.93-2.8)*4.4+0.81*4.4+(1.41+1.64)*2*3</f>
        <v>291.57370000000003</v>
      </c>
      <c r="E48" s="7">
        <v>12800</v>
      </c>
      <c r="F48" s="12">
        <f>D48*E48</f>
        <v>3732143.3600000003</v>
      </c>
    </row>
    <row r="49" spans="1:6" x14ac:dyDescent="0.25">
      <c r="A49" s="10" t="s">
        <v>88</v>
      </c>
      <c r="B49" s="11" t="s">
        <v>47</v>
      </c>
      <c r="C49" s="6" t="s">
        <v>3</v>
      </c>
      <c r="D49" s="8">
        <f>D25+0.62*4.4</f>
        <v>273.49000000000007</v>
      </c>
      <c r="E49" s="7">
        <v>13500</v>
      </c>
      <c r="F49" s="12">
        <f>D49*E49</f>
        <v>3692115.0000000009</v>
      </c>
    </row>
    <row r="50" spans="1:6" x14ac:dyDescent="0.25">
      <c r="A50" s="4">
        <v>9</v>
      </c>
      <c r="B50" s="5" t="s">
        <v>89</v>
      </c>
      <c r="C50" s="6"/>
      <c r="D50" s="8"/>
      <c r="E50" s="7"/>
      <c r="F50" s="16"/>
    </row>
    <row r="51" spans="1:6" x14ac:dyDescent="0.25">
      <c r="A51" s="4" t="s">
        <v>90</v>
      </c>
      <c r="B51" s="5" t="s">
        <v>91</v>
      </c>
      <c r="C51" s="6"/>
      <c r="D51" s="8"/>
      <c r="E51" s="7"/>
      <c r="F51" s="12"/>
    </row>
    <row r="52" spans="1:6" ht="27" x14ac:dyDescent="0.25">
      <c r="A52" s="10" t="s">
        <v>92</v>
      </c>
      <c r="B52" s="18" t="s">
        <v>93</v>
      </c>
      <c r="C52" s="19" t="s">
        <v>8</v>
      </c>
      <c r="D52" s="20">
        <v>1</v>
      </c>
      <c r="E52" s="7">
        <f>1280000*1.08</f>
        <v>1382400</v>
      </c>
      <c r="F52" s="12">
        <f>D52*E52</f>
        <v>1382400</v>
      </c>
    </row>
    <row r="53" spans="1:6" ht="27" x14ac:dyDescent="0.25">
      <c r="A53" s="10" t="s">
        <v>94</v>
      </c>
      <c r="B53" s="14" t="s">
        <v>95</v>
      </c>
      <c r="C53" s="15" t="s">
        <v>20</v>
      </c>
      <c r="D53" s="8">
        <v>6</v>
      </c>
      <c r="E53" s="21">
        <v>133860</v>
      </c>
      <c r="F53" s="12">
        <f>D53*E53</f>
        <v>803160</v>
      </c>
    </row>
    <row r="54" spans="1:6" x14ac:dyDescent="0.25">
      <c r="A54" s="4" t="s">
        <v>96</v>
      </c>
      <c r="B54" s="5" t="s">
        <v>97</v>
      </c>
      <c r="C54" s="6" t="s">
        <v>98</v>
      </c>
      <c r="D54" s="8"/>
      <c r="E54" s="7"/>
      <c r="F54" s="12"/>
    </row>
    <row r="55" spans="1:6" ht="27" x14ac:dyDescent="0.25">
      <c r="A55" s="10" t="s">
        <v>99</v>
      </c>
      <c r="B55" s="14" t="s">
        <v>100</v>
      </c>
      <c r="C55" s="15" t="s">
        <v>20</v>
      </c>
      <c r="D55" s="8">
        <v>1</v>
      </c>
      <c r="E55" s="21">
        <f>550000*1.19*1.15</f>
        <v>752675</v>
      </c>
      <c r="F55" s="12">
        <f>D55*E55</f>
        <v>752675</v>
      </c>
    </row>
    <row r="56" spans="1:6" ht="40.5" x14ac:dyDescent="0.25">
      <c r="A56" s="10" t="s">
        <v>101</v>
      </c>
      <c r="B56" s="14" t="s">
        <v>102</v>
      </c>
      <c r="C56" s="15" t="s">
        <v>20</v>
      </c>
      <c r="D56" s="8">
        <v>51</v>
      </c>
      <c r="E56" s="21">
        <v>125349.99999999999</v>
      </c>
      <c r="F56" s="12">
        <f t="shared" ref="F56:F83" si="4">D56*E56</f>
        <v>6392849.9999999991</v>
      </c>
    </row>
    <row r="57" spans="1:6" ht="54" x14ac:dyDescent="0.25">
      <c r="A57" s="10" t="s">
        <v>103</v>
      </c>
      <c r="B57" s="14" t="s">
        <v>104</v>
      </c>
      <c r="C57" s="15" t="s">
        <v>73</v>
      </c>
      <c r="D57" s="8">
        <f>9*2+1*1</f>
        <v>19</v>
      </c>
      <c r="E57" s="21">
        <v>48700</v>
      </c>
      <c r="F57" s="12">
        <f t="shared" si="4"/>
        <v>925300</v>
      </c>
    </row>
    <row r="58" spans="1:6" ht="27" x14ac:dyDescent="0.25">
      <c r="A58" s="10" t="s">
        <v>105</v>
      </c>
      <c r="B58" s="14" t="s">
        <v>106</v>
      </c>
      <c r="C58" s="15" t="s">
        <v>20</v>
      </c>
      <c r="D58" s="8">
        <v>11</v>
      </c>
      <c r="E58" s="21">
        <v>16000</v>
      </c>
      <c r="F58" s="12">
        <f t="shared" si="4"/>
        <v>176000</v>
      </c>
    </row>
    <row r="59" spans="1:6" ht="27" x14ac:dyDescent="0.25">
      <c r="A59" s="10" t="s">
        <v>107</v>
      </c>
      <c r="B59" s="14" t="s">
        <v>108</v>
      </c>
      <c r="C59" s="15" t="s">
        <v>20</v>
      </c>
      <c r="D59" s="8">
        <v>38</v>
      </c>
      <c r="E59" s="21">
        <v>8700</v>
      </c>
      <c r="F59" s="12">
        <f t="shared" si="4"/>
        <v>330600</v>
      </c>
    </row>
    <row r="60" spans="1:6" x14ac:dyDescent="0.25">
      <c r="A60" s="10" t="s">
        <v>109</v>
      </c>
      <c r="B60" s="14" t="s">
        <v>110</v>
      </c>
      <c r="C60" s="15" t="s">
        <v>20</v>
      </c>
      <c r="D60" s="8">
        <v>2</v>
      </c>
      <c r="E60" s="21">
        <v>16000</v>
      </c>
      <c r="F60" s="12">
        <f t="shared" si="4"/>
        <v>32000</v>
      </c>
    </row>
    <row r="61" spans="1:6" x14ac:dyDescent="0.25">
      <c r="A61" s="10" t="s">
        <v>111</v>
      </c>
      <c r="B61" s="14" t="s">
        <v>112</v>
      </c>
      <c r="C61" s="15" t="s">
        <v>20</v>
      </c>
      <c r="D61" s="8">
        <v>2</v>
      </c>
      <c r="E61" s="21">
        <v>16000</v>
      </c>
      <c r="F61" s="12">
        <f t="shared" si="4"/>
        <v>32000</v>
      </c>
    </row>
    <row r="62" spans="1:6" x14ac:dyDescent="0.25">
      <c r="A62" s="10" t="s">
        <v>113</v>
      </c>
      <c r="B62" s="14" t="s">
        <v>114</v>
      </c>
      <c r="C62" s="15" t="s">
        <v>73</v>
      </c>
      <c r="D62" s="8">
        <f>D57</f>
        <v>19</v>
      </c>
      <c r="E62" s="21">
        <v>13100</v>
      </c>
      <c r="F62" s="12">
        <f t="shared" si="4"/>
        <v>248900</v>
      </c>
    </row>
    <row r="63" spans="1:6" x14ac:dyDescent="0.25">
      <c r="A63" s="10" t="s">
        <v>115</v>
      </c>
      <c r="B63" s="22" t="s">
        <v>116</v>
      </c>
      <c r="C63" s="15" t="s">
        <v>20</v>
      </c>
      <c r="D63" s="24">
        <v>1</v>
      </c>
      <c r="E63" s="23">
        <v>235000</v>
      </c>
      <c r="F63" s="12">
        <f t="shared" si="4"/>
        <v>235000</v>
      </c>
    </row>
    <row r="64" spans="1:6" x14ac:dyDescent="0.25">
      <c r="A64" s="25" t="s">
        <v>117</v>
      </c>
      <c r="B64" s="26" t="s">
        <v>118</v>
      </c>
      <c r="C64" s="27"/>
      <c r="D64" s="24"/>
      <c r="E64" s="28"/>
      <c r="F64" s="16"/>
    </row>
    <row r="65" spans="1:6" ht="27" x14ac:dyDescent="0.25">
      <c r="A65" s="10" t="s">
        <v>119</v>
      </c>
      <c r="B65" s="14" t="s">
        <v>120</v>
      </c>
      <c r="C65" s="15" t="s">
        <v>20</v>
      </c>
      <c r="D65" s="8">
        <v>38</v>
      </c>
      <c r="E65" s="7">
        <v>68000</v>
      </c>
      <c r="F65" s="12">
        <f t="shared" si="4"/>
        <v>2584000</v>
      </c>
    </row>
    <row r="66" spans="1:6" ht="27" x14ac:dyDescent="0.25">
      <c r="A66" s="10" t="s">
        <v>121</v>
      </c>
      <c r="B66" s="14" t="s">
        <v>122</v>
      </c>
      <c r="C66" s="15" t="s">
        <v>73</v>
      </c>
      <c r="D66" s="8">
        <f>D57</f>
        <v>19</v>
      </c>
      <c r="E66" s="7">
        <v>37900</v>
      </c>
      <c r="F66" s="12">
        <f t="shared" si="4"/>
        <v>720100</v>
      </c>
    </row>
    <row r="67" spans="1:6" x14ac:dyDescent="0.25">
      <c r="A67" s="10" t="s">
        <v>123</v>
      </c>
      <c r="B67" s="14" t="s">
        <v>124</v>
      </c>
      <c r="C67" s="15" t="s">
        <v>20</v>
      </c>
      <c r="D67" s="8">
        <v>2</v>
      </c>
      <c r="E67" s="7">
        <v>22000</v>
      </c>
      <c r="F67" s="12">
        <f t="shared" si="4"/>
        <v>44000</v>
      </c>
    </row>
    <row r="68" spans="1:6" x14ac:dyDescent="0.25">
      <c r="A68" s="10" t="s">
        <v>125</v>
      </c>
      <c r="B68" s="14" t="s">
        <v>126</v>
      </c>
      <c r="C68" s="15" t="s">
        <v>20</v>
      </c>
      <c r="D68" s="8">
        <v>2</v>
      </c>
      <c r="E68" s="7">
        <v>70000</v>
      </c>
      <c r="F68" s="12">
        <f t="shared" si="4"/>
        <v>140000</v>
      </c>
    </row>
    <row r="69" spans="1:6" x14ac:dyDescent="0.25">
      <c r="A69" s="10" t="s">
        <v>127</v>
      </c>
      <c r="B69" s="22" t="s">
        <v>128</v>
      </c>
      <c r="C69" s="15" t="s">
        <v>20</v>
      </c>
      <c r="D69" s="8">
        <v>2</v>
      </c>
      <c r="E69" s="7">
        <v>98000</v>
      </c>
      <c r="F69" s="12">
        <f t="shared" si="4"/>
        <v>196000</v>
      </c>
    </row>
    <row r="70" spans="1:6" x14ac:dyDescent="0.25">
      <c r="A70" s="10" t="s">
        <v>129</v>
      </c>
      <c r="B70" s="22" t="s">
        <v>130</v>
      </c>
      <c r="C70" s="15" t="s">
        <v>20</v>
      </c>
      <c r="D70" s="8">
        <v>1</v>
      </c>
      <c r="E70" s="7">
        <v>2050000</v>
      </c>
      <c r="F70" s="12">
        <f t="shared" si="4"/>
        <v>2050000</v>
      </c>
    </row>
    <row r="71" spans="1:6" x14ac:dyDescent="0.25">
      <c r="A71" s="10" t="s">
        <v>131</v>
      </c>
      <c r="B71" s="22" t="s">
        <v>132</v>
      </c>
      <c r="C71" s="15" t="s">
        <v>20</v>
      </c>
      <c r="D71" s="8">
        <v>1</v>
      </c>
      <c r="E71" s="7">
        <v>950000</v>
      </c>
      <c r="F71" s="12">
        <f t="shared" si="4"/>
        <v>950000</v>
      </c>
    </row>
    <row r="72" spans="1:6" x14ac:dyDescent="0.25">
      <c r="A72" s="4" t="s">
        <v>133</v>
      </c>
      <c r="B72" s="17" t="s">
        <v>134</v>
      </c>
      <c r="C72" s="6"/>
      <c r="D72" s="8"/>
      <c r="E72" s="7"/>
      <c r="F72" s="12"/>
    </row>
    <row r="73" spans="1:6" ht="27" x14ac:dyDescent="0.25">
      <c r="A73" s="10" t="s">
        <v>135</v>
      </c>
      <c r="B73" s="14" t="s">
        <v>136</v>
      </c>
      <c r="C73" s="15" t="s">
        <v>20</v>
      </c>
      <c r="D73" s="8">
        <v>5</v>
      </c>
      <c r="E73" s="7">
        <v>128000</v>
      </c>
      <c r="F73" s="12">
        <f t="shared" si="4"/>
        <v>640000</v>
      </c>
    </row>
    <row r="74" spans="1:6" ht="27" x14ac:dyDescent="0.25">
      <c r="A74" s="10" t="s">
        <v>137</v>
      </c>
      <c r="B74" s="14" t="s">
        <v>138</v>
      </c>
      <c r="C74" s="15" t="s">
        <v>20</v>
      </c>
      <c r="D74" s="8">
        <v>1</v>
      </c>
      <c r="E74" s="7">
        <v>245000</v>
      </c>
      <c r="F74" s="12">
        <f t="shared" si="4"/>
        <v>245000</v>
      </c>
    </row>
    <row r="75" spans="1:6" x14ac:dyDescent="0.25">
      <c r="A75" s="4" t="s">
        <v>139</v>
      </c>
      <c r="B75" s="5" t="s">
        <v>140</v>
      </c>
      <c r="C75" s="6"/>
      <c r="D75" s="29"/>
      <c r="E75" s="7"/>
      <c r="F75" s="12"/>
    </row>
    <row r="76" spans="1:6" ht="27" x14ac:dyDescent="0.25">
      <c r="A76" s="10" t="s">
        <v>141</v>
      </c>
      <c r="B76" s="11" t="s">
        <v>142</v>
      </c>
      <c r="C76" s="6" t="s">
        <v>13</v>
      </c>
      <c r="D76" s="8">
        <v>1</v>
      </c>
      <c r="E76" s="7">
        <v>1637600</v>
      </c>
      <c r="F76" s="12">
        <f t="shared" si="4"/>
        <v>1637600</v>
      </c>
    </row>
    <row r="77" spans="1:6" x14ac:dyDescent="0.25">
      <c r="A77" s="10" t="s">
        <v>143</v>
      </c>
      <c r="B77" s="11" t="s">
        <v>144</v>
      </c>
      <c r="C77" s="6" t="s">
        <v>13</v>
      </c>
      <c r="D77" s="8">
        <v>0</v>
      </c>
      <c r="E77" s="7">
        <v>1200000</v>
      </c>
      <c r="F77" s="12">
        <f t="shared" si="4"/>
        <v>0</v>
      </c>
    </row>
    <row r="78" spans="1:6" x14ac:dyDescent="0.25">
      <c r="A78" s="4" t="s">
        <v>145</v>
      </c>
      <c r="B78" s="5" t="s">
        <v>146</v>
      </c>
      <c r="C78" s="6"/>
      <c r="D78" s="8"/>
      <c r="E78" s="7"/>
      <c r="F78" s="12"/>
    </row>
    <row r="79" spans="1:6" x14ac:dyDescent="0.25">
      <c r="A79" s="10" t="s">
        <v>147</v>
      </c>
      <c r="B79" s="11" t="s">
        <v>148</v>
      </c>
      <c r="C79" s="6" t="s">
        <v>13</v>
      </c>
      <c r="D79" s="8">
        <v>1</v>
      </c>
      <c r="E79" s="7" t="e">
        <f>#REF!*1.19*1.35</f>
        <v>#REF!</v>
      </c>
      <c r="F79" s="12" t="e">
        <f t="shared" si="4"/>
        <v>#REF!</v>
      </c>
    </row>
    <row r="80" spans="1:6" x14ac:dyDescent="0.25">
      <c r="A80" s="10" t="s">
        <v>149</v>
      </c>
      <c r="B80" s="11" t="s">
        <v>150</v>
      </c>
      <c r="C80" s="6" t="s">
        <v>13</v>
      </c>
      <c r="D80" s="8">
        <v>1</v>
      </c>
      <c r="E80" s="7" t="e">
        <f>#REF!*1.19*1.35</f>
        <v>#REF!</v>
      </c>
      <c r="F80" s="12" t="e">
        <f t="shared" si="4"/>
        <v>#REF!</v>
      </c>
    </row>
    <row r="81" spans="1:6" x14ac:dyDescent="0.25">
      <c r="A81" s="10" t="s">
        <v>151</v>
      </c>
      <c r="B81" s="11" t="s">
        <v>152</v>
      </c>
      <c r="C81" s="6" t="s">
        <v>20</v>
      </c>
      <c r="D81" s="8">
        <v>12</v>
      </c>
      <c r="E81" s="7" t="e">
        <f>#REF!*1.19*1.35</f>
        <v>#REF!</v>
      </c>
      <c r="F81" s="12" t="e">
        <f t="shared" si="4"/>
        <v>#REF!</v>
      </c>
    </row>
    <row r="82" spans="1:6" x14ac:dyDescent="0.25">
      <c r="A82" s="4" t="s">
        <v>153</v>
      </c>
      <c r="B82" s="5" t="s">
        <v>154</v>
      </c>
      <c r="C82" s="6"/>
      <c r="D82" s="8"/>
      <c r="E82" s="7"/>
      <c r="F82" s="12"/>
    </row>
    <row r="83" spans="1:6" ht="27" x14ac:dyDescent="0.25">
      <c r="A83" s="10" t="s">
        <v>155</v>
      </c>
      <c r="B83" s="11" t="s">
        <v>156</v>
      </c>
      <c r="C83" s="6" t="s">
        <v>73</v>
      </c>
      <c r="D83" s="8">
        <f>4.4/2</f>
        <v>2.2000000000000002</v>
      </c>
      <c r="E83" s="7">
        <f ca="1">(450000/F83)*1.15</f>
        <v>235227.27272727268</v>
      </c>
      <c r="F83" s="12">
        <f t="shared" ca="1" si="4"/>
        <v>517499.99999999994</v>
      </c>
    </row>
    <row r="84" spans="1:6" x14ac:dyDescent="0.25">
      <c r="A84" s="10" t="s">
        <v>157</v>
      </c>
      <c r="B84" s="30" t="s">
        <v>158</v>
      </c>
      <c r="C84" s="31" t="s">
        <v>3</v>
      </c>
      <c r="D84" s="33">
        <f>2*9</f>
        <v>18</v>
      </c>
      <c r="E84" s="32">
        <v>184271</v>
      </c>
      <c r="F84" s="32">
        <f>D84*E84</f>
        <v>3316878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2026-06-07T04:38:31Z</dcterms:created>
  <dcterms:modified xsi:type="dcterms:W3CDTF">2026-06-07T05:01:35Z</dcterms:modified>
</cp:coreProperties>
</file>